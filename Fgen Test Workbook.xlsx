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Projects\ST\H723_Function_Gen\"/>
    </mc:Choice>
  </mc:AlternateContent>
  <xr:revisionPtr revIDLastSave="0" documentId="13_ncr:1_{6A555845-7030-4ADC-9343-F502E901466A}" xr6:coauthVersionLast="47" xr6:coauthVersionMax="47" xr10:uidLastSave="{00000000-0000-0000-0000-000000000000}"/>
  <bookViews>
    <workbookView xWindow="912" yWindow="528" windowWidth="19308" windowHeight="16140" activeTab="1" xr2:uid="{84068081-4050-4417-95EF-D953C8F4F02B}"/>
  </bookViews>
  <sheets>
    <sheet name="Sheet1" sheetId="1" r:id="rId1"/>
    <sheet name="LU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4" i="2" l="1"/>
  <c r="Q21" i="2"/>
  <c r="Q18" i="2"/>
  <c r="N3" i="2"/>
  <c r="P3" i="2" s="1"/>
  <c r="K36" i="1"/>
  <c r="K34" i="1"/>
  <c r="K33" i="1"/>
  <c r="K32" i="1"/>
  <c r="K31" i="1"/>
  <c r="K29" i="1"/>
  <c r="K27" i="1"/>
  <c r="K26" i="1"/>
  <c r="K25" i="1"/>
</calcChain>
</file>

<file path=xl/sharedStrings.xml><?xml version="1.0" encoding="utf-8"?>
<sst xmlns="http://schemas.openxmlformats.org/spreadsheetml/2006/main" count="41" uniqueCount="39">
  <si>
    <t>Hertz Out</t>
  </si>
  <si>
    <t>Prescaler</t>
  </si>
  <si>
    <t>Period</t>
  </si>
  <si>
    <t>Samples</t>
  </si>
  <si>
    <r>
      <t>t</t>
    </r>
    <r>
      <rPr>
        <vertAlign val="subscript"/>
        <sz val="11"/>
        <color theme="1"/>
        <rFont val="Calibri"/>
        <family val="2"/>
        <scheme val="minor"/>
      </rPr>
      <t>Cycle</t>
    </r>
  </si>
  <si>
    <t>us</t>
  </si>
  <si>
    <t>Samp / us</t>
  </si>
  <si>
    <t>t / subPeriod</t>
  </si>
  <si>
    <t>ns</t>
  </si>
  <si>
    <t>ABP1</t>
  </si>
  <si>
    <t>275 MHz</t>
  </si>
  <si>
    <t>&lt;250</t>
  </si>
  <si>
    <t>&lt;500</t>
  </si>
  <si>
    <t>.5k-5k</t>
  </si>
  <si>
    <t># Samples / cycle</t>
  </si>
  <si>
    <t>Prescaler (n-1)</t>
  </si>
  <si>
    <t>Period (n-1)</t>
  </si>
  <si>
    <t>Output Hz</t>
  </si>
  <si>
    <t>inc 100s</t>
  </si>
  <si>
    <t>inc 10s</t>
  </si>
  <si>
    <t>inc 1</t>
  </si>
  <si>
    <t>Period - 3438</t>
  </si>
  <si>
    <t>vVv</t>
  </si>
  <si>
    <t>Pre</t>
  </si>
  <si>
    <t xml:space="preserve">ARR </t>
  </si>
  <si>
    <t>f</t>
  </si>
  <si>
    <t>Hz</t>
  </si>
  <si>
    <t>period ms</t>
  </si>
  <si>
    <t>4k-2k</t>
  </si>
  <si>
    <t>above 260khz</t>
  </si>
  <si>
    <t>If the user commands a frequency higher / 
lower than what the current frequency is
 set for, the function must recognize
this and rebuild the output buffer. 
Increase in 100 Hz.
Above 270 khz the TX will turn 
off while adjusting the frequency to 
avoid lockup</t>
  </si>
  <si>
    <t>Add to formula</t>
  </si>
  <si>
    <t>f in</t>
  </si>
  <si>
    <t>ARR out</t>
  </si>
  <si>
    <t>Adj</t>
  </si>
  <si>
    <t>start</t>
  </si>
  <si>
    <t>end</t>
  </si>
  <si>
    <t>divs</t>
  </si>
  <si>
    <t>diff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</si>
</sst>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vertAlign val="subscrip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2" borderId="0" xfId="0" applyFill="1"/>
    <xf numFmtId="0" fontId="0" fillId="0" borderId="0" xfId="0" applyAlignment="1">
      <alignment horizontal="center"/>
    </xf>
    <xf numFmtId="0" fontId="0" fillId="0" borderId="2" xfId="0" applyBorder="1" applyAlignment="1">
      <alignment horizont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3" borderId="0" xfId="0" applyFill="1"/>
    <xf numFmtId="0" fontId="0" fillId="3" borderId="10" xfId="0" applyFill="1" applyBorder="1"/>
    <xf numFmtId="0" fontId="0" fillId="3" borderId="11" xfId="0" applyFill="1" applyBorder="1"/>
    <xf numFmtId="0" fontId="0" fillId="3" borderId="12" xfId="0" applyFill="1" applyBorder="1"/>
    <xf numFmtId="0" fontId="0" fillId="0" borderId="2" xfId="0" applyBorder="1"/>
    <xf numFmtId="0" fontId="0" fillId="0" borderId="3" xfId="0" applyBorder="1"/>
    <xf numFmtId="0" fontId="0" fillId="0" borderId="5" xfId="0" applyBorder="1"/>
    <xf numFmtId="0" fontId="0" fillId="0" borderId="0" xfId="0" applyBorder="1"/>
    <xf numFmtId="0" fontId="0" fillId="0" borderId="7" xfId="0" applyBorder="1"/>
    <xf numFmtId="0" fontId="0" fillId="0" borderId="8" xfId="0" applyBorder="1"/>
    <xf numFmtId="0" fontId="0" fillId="0" borderId="9" xfId="0" applyBorder="1"/>
    <xf numFmtId="0" fontId="0" fillId="0" borderId="0" xfId="0" applyFill="1" applyBorder="1"/>
    <xf numFmtId="0" fontId="0" fillId="0" borderId="13" xfId="0" applyFill="1" applyBorder="1"/>
    <xf numFmtId="0" fontId="0" fillId="2" borderId="0" xfId="0" applyFill="1" applyBorder="1"/>
    <xf numFmtId="0" fontId="0" fillId="2" borderId="5" xfId="0" applyFill="1" applyBorder="1"/>
    <xf numFmtId="0" fontId="0" fillId="0" borderId="2" xfId="0" applyBorder="1" applyAlignment="1">
      <alignment horizont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16</xdr:col>
      <xdr:colOff>350520</xdr:colOff>
      <xdr:row>4</xdr:row>
      <xdr:rowOff>137160</xdr:rowOff>
    </xdr:from>
    <xdr:ext cx="1433341" cy="351506"/>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D28D6E9A-6595-D611-1370-F3A2886AEB5B}"/>
                </a:ext>
              </a:extLst>
            </xdr:cNvPr>
            <xdr:cNvSpPr txBox="1"/>
          </xdr:nvSpPr>
          <xdr:spPr>
            <a:xfrm>
              <a:off x="11170920" y="868680"/>
              <a:ext cx="1433341" cy="351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𝑓</m:t>
                    </m:r>
                    <m:r>
                      <a:rPr lang="en-US" sz="1100" b="0" i="1">
                        <a:latin typeface="Cambria Math" panose="02040503050406030204" pitchFamily="18" charset="0"/>
                      </a:rPr>
                      <m:t>= </m:t>
                    </m:r>
                    <m:f>
                      <m:fPr>
                        <m:ctrlPr>
                          <a:rPr lang="en-US" sz="1100" b="0" i="1">
                            <a:latin typeface="Cambria Math" panose="02040503050406030204" pitchFamily="18" charset="0"/>
                          </a:rPr>
                        </m:ctrlPr>
                      </m:fPr>
                      <m:num>
                        <m:r>
                          <a:rPr lang="en-US" sz="1100" b="0" i="1">
                            <a:latin typeface="Cambria Math" panose="02040503050406030204" pitchFamily="18" charset="0"/>
                          </a:rPr>
                          <m:t>275000000</m:t>
                        </m:r>
                      </m:num>
                      <m:den>
                        <m:d>
                          <m:dPr>
                            <m:ctrlPr>
                              <a:rPr lang="en-US" sz="1100" b="0" i="1">
                                <a:latin typeface="Cambria Math" panose="02040503050406030204" pitchFamily="18" charset="0"/>
                              </a:rPr>
                            </m:ctrlPr>
                          </m:dPr>
                          <m:e>
                            <m:r>
                              <a:rPr lang="en-US" sz="1100" b="0" i="1">
                                <a:latin typeface="Cambria Math" panose="02040503050406030204" pitchFamily="18" charset="0"/>
                              </a:rPr>
                              <m:t>2</m:t>
                            </m:r>
                          </m:e>
                        </m:d>
                        <m:r>
                          <a:rPr lang="en-US" sz="1100" b="0" i="1">
                            <a:latin typeface="Cambria Math" panose="02040503050406030204" pitchFamily="18" charset="0"/>
                          </a:rPr>
                          <m:t>(50)(</m:t>
                        </m:r>
                        <m:r>
                          <a:rPr lang="en-US" sz="1100" b="0" i="1">
                            <a:latin typeface="Cambria Math" panose="02040503050406030204" pitchFamily="18" charset="0"/>
                          </a:rPr>
                          <m:t>𝐴𝑅𝑅</m:t>
                        </m:r>
                        <m:r>
                          <a:rPr lang="en-US" sz="1100" b="0" i="1">
                            <a:latin typeface="Cambria Math" panose="02040503050406030204" pitchFamily="18" charset="0"/>
                          </a:rPr>
                          <m:t>+1)</m:t>
                        </m:r>
                      </m:den>
                    </m:f>
                  </m:oMath>
                </m:oMathPara>
              </a14:m>
              <a:endParaRPr lang="en-US" sz="1100"/>
            </a:p>
          </xdr:txBody>
        </xdr:sp>
      </mc:Choice>
      <mc:Fallback>
        <xdr:sp macro="" textlink="">
          <xdr:nvSpPr>
            <xdr:cNvPr id="3" name="TextBox 2">
              <a:extLst>
                <a:ext uri="{FF2B5EF4-FFF2-40B4-BE49-F238E27FC236}">
                  <a16:creationId xmlns:a16="http://schemas.microsoft.com/office/drawing/2014/main" id="{D28D6E9A-6595-D611-1370-F3A2886AEB5B}"/>
                </a:ext>
              </a:extLst>
            </xdr:cNvPr>
            <xdr:cNvSpPr txBox="1"/>
          </xdr:nvSpPr>
          <xdr:spPr>
            <a:xfrm>
              <a:off x="11170920" y="868680"/>
              <a:ext cx="1433341" cy="351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𝑓=  275000000/((2)(50)(𝐴𝑅𝑅+1))</a:t>
              </a:r>
              <a:endParaRPr lang="en-US" sz="1100"/>
            </a:p>
          </xdr:txBody>
        </xdr:sp>
      </mc:Fallback>
    </mc:AlternateContent>
    <xdr:clientData/>
  </xdr:oneCellAnchor>
  <xdr:oneCellAnchor>
    <xdr:from>
      <xdr:col>16</xdr:col>
      <xdr:colOff>297180</xdr:colOff>
      <xdr:row>7</xdr:row>
      <xdr:rowOff>45720</xdr:rowOff>
    </xdr:from>
    <xdr:ext cx="65" cy="172227"/>
    <xdr:sp macro="" textlink="">
      <xdr:nvSpPr>
        <xdr:cNvPr id="4" name="TextBox 3">
          <a:extLst>
            <a:ext uri="{FF2B5EF4-FFF2-40B4-BE49-F238E27FC236}">
              <a16:creationId xmlns:a16="http://schemas.microsoft.com/office/drawing/2014/main" id="{207F7B1D-5219-4235-E50E-E36028371AFD}"/>
            </a:ext>
          </a:extLst>
        </xdr:cNvPr>
        <xdr:cNvSpPr txBox="1"/>
      </xdr:nvSpPr>
      <xdr:spPr>
        <a:xfrm>
          <a:off x="11117580" y="13258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16</xdr:col>
      <xdr:colOff>190500</xdr:colOff>
      <xdr:row>7</xdr:row>
      <xdr:rowOff>83820</xdr:rowOff>
    </xdr:from>
    <xdr:ext cx="1504771" cy="351506"/>
    <mc:AlternateContent xmlns:mc="http://schemas.openxmlformats.org/markup-compatibility/2006">
      <mc:Choice xmlns:a14="http://schemas.microsoft.com/office/drawing/2010/main" Requires="a14">
        <xdr:sp macro="" textlink="">
          <xdr:nvSpPr>
            <xdr:cNvPr id="5" name="TextBox 4">
              <a:extLst>
                <a:ext uri="{FF2B5EF4-FFF2-40B4-BE49-F238E27FC236}">
                  <a16:creationId xmlns:a16="http://schemas.microsoft.com/office/drawing/2014/main" id="{7AEA83FD-D9F1-2BAE-4C2F-25E4C8842DF7}"/>
                </a:ext>
              </a:extLst>
            </xdr:cNvPr>
            <xdr:cNvSpPr txBox="1"/>
          </xdr:nvSpPr>
          <xdr:spPr>
            <a:xfrm>
              <a:off x="11010900" y="1363980"/>
              <a:ext cx="1504771" cy="351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𝐴𝑅𝑅</m:t>
                    </m:r>
                    <m:r>
                      <a:rPr lang="en-US" sz="1100" b="0" i="1">
                        <a:latin typeface="Cambria Math" panose="02040503050406030204" pitchFamily="18" charset="0"/>
                      </a:rPr>
                      <m:t>+1= </m:t>
                    </m:r>
                    <m:f>
                      <m:fPr>
                        <m:ctrlPr>
                          <a:rPr lang="en-US" sz="1100" b="0" i="1">
                            <a:latin typeface="Cambria Math" panose="02040503050406030204" pitchFamily="18" charset="0"/>
                          </a:rPr>
                        </m:ctrlPr>
                      </m:fPr>
                      <m:num>
                        <m:r>
                          <a:rPr lang="en-US" sz="1100" b="0" i="1">
                            <a:latin typeface="Cambria Math" panose="02040503050406030204" pitchFamily="18" charset="0"/>
                          </a:rPr>
                          <m:t>275000000</m:t>
                        </m:r>
                      </m:num>
                      <m:den>
                        <m:r>
                          <a:rPr lang="en-US" sz="1100" b="0" i="1">
                            <a:latin typeface="Cambria Math" panose="02040503050406030204" pitchFamily="18" charset="0"/>
                          </a:rPr>
                          <m:t>2</m:t>
                        </m:r>
                        <m:r>
                          <a:rPr lang="en-US" sz="1100" b="0" i="1">
                            <a:latin typeface="Cambria Math" panose="02040503050406030204" pitchFamily="18" charset="0"/>
                          </a:rPr>
                          <m:t>𝑓𝑠</m:t>
                        </m:r>
                      </m:den>
                    </m:f>
                  </m:oMath>
                </m:oMathPara>
              </a14:m>
              <a:endParaRPr lang="en-US" sz="1100"/>
            </a:p>
          </xdr:txBody>
        </xdr:sp>
      </mc:Choice>
      <mc:Fallback>
        <xdr:sp macro="" textlink="">
          <xdr:nvSpPr>
            <xdr:cNvPr id="5" name="TextBox 4">
              <a:extLst>
                <a:ext uri="{FF2B5EF4-FFF2-40B4-BE49-F238E27FC236}">
                  <a16:creationId xmlns:a16="http://schemas.microsoft.com/office/drawing/2014/main" id="{7AEA83FD-D9F1-2BAE-4C2F-25E4C8842DF7}"/>
                </a:ext>
              </a:extLst>
            </xdr:cNvPr>
            <xdr:cNvSpPr txBox="1"/>
          </xdr:nvSpPr>
          <xdr:spPr>
            <a:xfrm>
              <a:off x="11010900" y="1363980"/>
              <a:ext cx="1504771" cy="351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𝐴𝑅𝑅+1=  275000000/2𝑓𝑠</a:t>
              </a:r>
              <a:endParaRPr lang="en-US"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AB731-196D-4B32-B36A-5CC60C3AFE8B}">
  <dimension ref="B5:P43"/>
  <sheetViews>
    <sheetView topLeftCell="A16" workbookViewId="0">
      <selection activeCell="J41" sqref="J41"/>
    </sheetView>
  </sheetViews>
  <sheetFormatPr defaultRowHeight="14.4" x14ac:dyDescent="0.3"/>
  <cols>
    <col min="1" max="1" width="8" customWidth="1"/>
    <col min="2" max="3" width="8.88671875" hidden="1" customWidth="1"/>
    <col min="4" max="4" width="20.21875" customWidth="1"/>
    <col min="6" max="6" width="12.77734375" customWidth="1"/>
    <col min="7" max="7" width="16.21875" customWidth="1"/>
    <col min="8" max="10" width="12.77734375" customWidth="1"/>
    <col min="11" max="11" width="16.109375" customWidth="1"/>
    <col min="13" max="13" width="11.21875" customWidth="1"/>
    <col min="14" max="14" width="11" customWidth="1"/>
  </cols>
  <sheetData>
    <row r="5" spans="7:15" x14ac:dyDescent="0.3">
      <c r="K5" t="s">
        <v>9</v>
      </c>
    </row>
    <row r="6" spans="7:15" x14ac:dyDescent="0.3">
      <c r="K6" t="s">
        <v>10</v>
      </c>
    </row>
    <row r="9" spans="7:15" ht="15.6" x14ac:dyDescent="0.35">
      <c r="G9" t="s">
        <v>3</v>
      </c>
      <c r="H9" t="s">
        <v>1</v>
      </c>
      <c r="I9" t="s">
        <v>2</v>
      </c>
      <c r="J9" t="s">
        <v>0</v>
      </c>
      <c r="K9" t="s">
        <v>4</v>
      </c>
      <c r="M9" t="s">
        <v>6</v>
      </c>
      <c r="N9" t="s">
        <v>7</v>
      </c>
    </row>
    <row r="10" spans="7:15" x14ac:dyDescent="0.3">
      <c r="G10">
        <v>1000</v>
      </c>
      <c r="H10">
        <v>16</v>
      </c>
      <c r="I10">
        <v>10</v>
      </c>
      <c r="J10">
        <v>1737</v>
      </c>
      <c r="K10">
        <v>575</v>
      </c>
      <c r="L10" t="s">
        <v>5</v>
      </c>
      <c r="M10">
        <v>1.74</v>
      </c>
      <c r="N10">
        <v>58</v>
      </c>
      <c r="O10" t="s">
        <v>8</v>
      </c>
    </row>
    <row r="11" spans="7:15" x14ac:dyDescent="0.3">
      <c r="G11">
        <v>250</v>
      </c>
      <c r="H11">
        <v>16</v>
      </c>
      <c r="I11">
        <v>50</v>
      </c>
      <c r="J11">
        <v>1385</v>
      </c>
      <c r="K11">
        <v>722</v>
      </c>
      <c r="L11" t="s">
        <v>5</v>
      </c>
      <c r="M11">
        <v>1.39</v>
      </c>
    </row>
    <row r="12" spans="7:15" x14ac:dyDescent="0.3">
      <c r="G12">
        <v>250</v>
      </c>
      <c r="H12">
        <v>16</v>
      </c>
      <c r="I12">
        <v>1000</v>
      </c>
      <c r="J12">
        <v>65</v>
      </c>
    </row>
    <row r="13" spans="7:15" x14ac:dyDescent="0.3">
      <c r="G13">
        <v>1000</v>
      </c>
      <c r="H13">
        <v>16</v>
      </c>
      <c r="I13">
        <v>2</v>
      </c>
      <c r="J13">
        <v>8157</v>
      </c>
    </row>
    <row r="14" spans="7:15" x14ac:dyDescent="0.3">
      <c r="G14">
        <v>1000</v>
      </c>
      <c r="H14">
        <v>16</v>
      </c>
      <c r="I14">
        <v>16</v>
      </c>
      <c r="J14">
        <v>1011</v>
      </c>
    </row>
    <row r="15" spans="7:15" x14ac:dyDescent="0.3">
      <c r="G15">
        <v>500</v>
      </c>
      <c r="H15">
        <v>16</v>
      </c>
      <c r="I15">
        <v>16</v>
      </c>
      <c r="J15">
        <v>2040</v>
      </c>
    </row>
    <row r="16" spans="7:15" x14ac:dyDescent="0.3">
      <c r="G16">
        <v>250</v>
      </c>
      <c r="H16">
        <v>16</v>
      </c>
      <c r="I16">
        <v>16</v>
      </c>
      <c r="J16">
        <v>4080</v>
      </c>
    </row>
    <row r="17" spans="4:16" x14ac:dyDescent="0.3">
      <c r="F17" s="2"/>
      <c r="G17">
        <v>1000</v>
      </c>
      <c r="H17">
        <v>2</v>
      </c>
      <c r="I17">
        <v>130</v>
      </c>
      <c r="J17">
        <v>1003</v>
      </c>
    </row>
    <row r="18" spans="4:16" x14ac:dyDescent="0.3">
      <c r="E18" t="s">
        <v>11</v>
      </c>
      <c r="F18">
        <v>4000</v>
      </c>
      <c r="G18">
        <v>4000</v>
      </c>
      <c r="H18">
        <v>2</v>
      </c>
      <c r="I18" s="1">
        <v>34375</v>
      </c>
      <c r="J18">
        <v>1</v>
      </c>
    </row>
    <row r="19" spans="4:16" x14ac:dyDescent="0.3">
      <c r="E19" t="s">
        <v>12</v>
      </c>
      <c r="F19">
        <v>2000</v>
      </c>
      <c r="G19">
        <v>4000</v>
      </c>
      <c r="H19">
        <v>2</v>
      </c>
      <c r="I19">
        <v>17188</v>
      </c>
      <c r="J19">
        <v>1.92</v>
      </c>
    </row>
    <row r="20" spans="4:16" x14ac:dyDescent="0.3">
      <c r="E20" t="s">
        <v>13</v>
      </c>
      <c r="F20">
        <v>1000</v>
      </c>
      <c r="G20">
        <v>4000</v>
      </c>
      <c r="H20">
        <v>2</v>
      </c>
      <c r="I20">
        <v>16501</v>
      </c>
      <c r="J20">
        <v>2</v>
      </c>
    </row>
    <row r="21" spans="4:16" x14ac:dyDescent="0.3">
      <c r="G21">
        <v>4000</v>
      </c>
      <c r="H21">
        <v>2</v>
      </c>
      <c r="I21">
        <v>33</v>
      </c>
      <c r="J21">
        <v>989</v>
      </c>
    </row>
    <row r="22" spans="4:16" x14ac:dyDescent="0.3">
      <c r="G22">
        <v>1000</v>
      </c>
      <c r="H22">
        <v>2</v>
      </c>
      <c r="I22">
        <v>127</v>
      </c>
    </row>
    <row r="23" spans="4:16" x14ac:dyDescent="0.3">
      <c r="D23" t="s">
        <v>18</v>
      </c>
      <c r="E23" t="s">
        <v>19</v>
      </c>
      <c r="F23" t="s">
        <v>20</v>
      </c>
      <c r="G23" t="s">
        <v>14</v>
      </c>
      <c r="H23" t="s">
        <v>15</v>
      </c>
      <c r="I23" t="s">
        <v>16</v>
      </c>
      <c r="J23" t="s">
        <v>17</v>
      </c>
    </row>
    <row r="24" spans="4:16" x14ac:dyDescent="0.3">
      <c r="D24" t="s">
        <v>21</v>
      </c>
      <c r="F24">
        <v>1</v>
      </c>
      <c r="G24" s="12">
        <v>4000</v>
      </c>
      <c r="H24" s="12">
        <v>2</v>
      </c>
      <c r="I24" s="12">
        <v>34375</v>
      </c>
      <c r="J24" s="13">
        <v>1</v>
      </c>
      <c r="K24" s="12"/>
      <c r="M24" s="3" t="s">
        <v>30</v>
      </c>
      <c r="N24" s="4"/>
      <c r="O24" s="4"/>
      <c r="P24" s="5"/>
    </row>
    <row r="25" spans="4:16" x14ac:dyDescent="0.3">
      <c r="D25" s="2" t="s">
        <v>22</v>
      </c>
      <c r="F25">
        <v>10</v>
      </c>
      <c r="G25" s="12">
        <v>4000</v>
      </c>
      <c r="H25" s="12">
        <v>2</v>
      </c>
      <c r="I25" s="12">
        <v>3438</v>
      </c>
      <c r="J25" s="14">
        <v>10</v>
      </c>
      <c r="K25" s="12">
        <f>I24 - I25</f>
        <v>30937</v>
      </c>
      <c r="M25" s="6"/>
      <c r="N25" s="7"/>
      <c r="O25" s="7"/>
      <c r="P25" s="8"/>
    </row>
    <row r="26" spans="4:16" x14ac:dyDescent="0.3">
      <c r="D26" s="2" t="s">
        <v>22</v>
      </c>
      <c r="F26">
        <v>104</v>
      </c>
      <c r="G26" s="12">
        <v>4000</v>
      </c>
      <c r="H26" s="12">
        <v>2</v>
      </c>
      <c r="I26" s="12">
        <v>326</v>
      </c>
      <c r="J26" s="14">
        <v>100</v>
      </c>
      <c r="K26" s="12">
        <f>I25 - I26</f>
        <v>3112</v>
      </c>
      <c r="M26" s="6"/>
      <c r="N26" s="7"/>
      <c r="O26" s="7"/>
      <c r="P26" s="8"/>
    </row>
    <row r="27" spans="4:16" x14ac:dyDescent="0.3">
      <c r="D27" s="2"/>
      <c r="G27" s="12">
        <v>4000</v>
      </c>
      <c r="H27" s="12">
        <v>2</v>
      </c>
      <c r="I27" s="12">
        <v>130</v>
      </c>
      <c r="J27" s="14">
        <v>250</v>
      </c>
      <c r="K27" s="12">
        <f>I26 - I27</f>
        <v>196</v>
      </c>
      <c r="M27" s="6"/>
      <c r="N27" s="7"/>
      <c r="O27" s="7"/>
      <c r="P27" s="8"/>
    </row>
    <row r="28" spans="4:16" x14ac:dyDescent="0.3">
      <c r="G28" s="12">
        <v>2000</v>
      </c>
      <c r="H28" s="12">
        <v>2</v>
      </c>
      <c r="I28" s="12">
        <v>260</v>
      </c>
      <c r="J28" s="14">
        <v>251</v>
      </c>
      <c r="K28" s="12"/>
      <c r="M28" s="6"/>
      <c r="N28" s="7"/>
      <c r="O28" s="7"/>
      <c r="P28" s="8"/>
    </row>
    <row r="29" spans="4:16" x14ac:dyDescent="0.3">
      <c r="G29" s="12">
        <v>2000</v>
      </c>
      <c r="H29" s="12">
        <v>2</v>
      </c>
      <c r="I29" s="12">
        <v>130</v>
      </c>
      <c r="J29" s="14">
        <v>500</v>
      </c>
      <c r="K29" s="12">
        <f>I28 - I29</f>
        <v>130</v>
      </c>
      <c r="M29" s="6"/>
      <c r="N29" s="7"/>
      <c r="O29" s="7"/>
      <c r="P29" s="8"/>
    </row>
    <row r="30" spans="4:16" x14ac:dyDescent="0.3">
      <c r="G30" s="12">
        <v>1000</v>
      </c>
      <c r="H30" s="12">
        <v>2</v>
      </c>
      <c r="I30" s="12">
        <v>260</v>
      </c>
      <c r="J30" s="15">
        <v>501</v>
      </c>
      <c r="K30" s="12"/>
      <c r="M30" s="6"/>
      <c r="N30" s="7"/>
      <c r="O30" s="7"/>
      <c r="P30" s="8"/>
    </row>
    <row r="31" spans="4:16" x14ac:dyDescent="0.3">
      <c r="G31">
        <v>1000</v>
      </c>
      <c r="H31">
        <v>2</v>
      </c>
      <c r="I31">
        <v>130</v>
      </c>
      <c r="J31">
        <v>1003</v>
      </c>
      <c r="K31">
        <f>I30 - I31</f>
        <v>130</v>
      </c>
      <c r="M31" s="6"/>
      <c r="N31" s="7"/>
      <c r="O31" s="7"/>
      <c r="P31" s="8"/>
    </row>
    <row r="32" spans="4:16" x14ac:dyDescent="0.3">
      <c r="G32">
        <v>1000</v>
      </c>
      <c r="H32">
        <v>2</v>
      </c>
      <c r="I32">
        <v>65</v>
      </c>
      <c r="J32">
        <v>2007</v>
      </c>
      <c r="K32">
        <f>I31 - I32</f>
        <v>65</v>
      </c>
      <c r="M32" s="6"/>
      <c r="N32" s="7"/>
      <c r="O32" s="7"/>
      <c r="P32" s="8"/>
    </row>
    <row r="33" spans="7:16" x14ac:dyDescent="0.3">
      <c r="G33">
        <v>1000</v>
      </c>
      <c r="H33">
        <v>2</v>
      </c>
      <c r="I33">
        <v>33</v>
      </c>
      <c r="J33">
        <v>3955</v>
      </c>
      <c r="K33">
        <f>I32 - I33</f>
        <v>32</v>
      </c>
      <c r="M33" s="6"/>
      <c r="N33" s="7"/>
      <c r="O33" s="7"/>
      <c r="P33" s="8"/>
    </row>
    <row r="34" spans="7:16" x14ac:dyDescent="0.3">
      <c r="G34">
        <v>1000</v>
      </c>
      <c r="H34">
        <v>2</v>
      </c>
      <c r="I34">
        <v>26</v>
      </c>
      <c r="J34">
        <v>5018</v>
      </c>
      <c r="K34">
        <f>I33 - I34</f>
        <v>7</v>
      </c>
      <c r="M34" s="6"/>
      <c r="N34" s="7"/>
      <c r="O34" s="7"/>
      <c r="P34" s="8"/>
    </row>
    <row r="35" spans="7:16" x14ac:dyDescent="0.3">
      <c r="G35">
        <v>500</v>
      </c>
      <c r="H35">
        <v>2</v>
      </c>
      <c r="I35">
        <v>52</v>
      </c>
      <c r="J35">
        <v>5018</v>
      </c>
      <c r="M35" s="9"/>
      <c r="N35" s="10"/>
      <c r="O35" s="10"/>
      <c r="P35" s="11"/>
    </row>
    <row r="36" spans="7:16" x14ac:dyDescent="0.3">
      <c r="G36">
        <v>500</v>
      </c>
      <c r="H36">
        <v>2</v>
      </c>
      <c r="I36">
        <v>26</v>
      </c>
      <c r="J36">
        <v>10036</v>
      </c>
      <c r="K36">
        <f>I35 - I36</f>
        <v>26</v>
      </c>
    </row>
    <row r="37" spans="7:16" x14ac:dyDescent="0.3">
      <c r="G37">
        <v>250</v>
      </c>
      <c r="H37">
        <v>2</v>
      </c>
      <c r="I37">
        <v>52</v>
      </c>
      <c r="J37">
        <v>10034</v>
      </c>
    </row>
    <row r="38" spans="7:16" x14ac:dyDescent="0.3">
      <c r="G38">
        <v>250</v>
      </c>
      <c r="H38">
        <v>2</v>
      </c>
      <c r="I38">
        <v>26</v>
      </c>
      <c r="J38">
        <v>20040</v>
      </c>
      <c r="K38">
        <v>26</v>
      </c>
    </row>
    <row r="39" spans="7:16" x14ac:dyDescent="0.3">
      <c r="G39">
        <v>100</v>
      </c>
      <c r="H39">
        <v>2</v>
      </c>
      <c r="I39">
        <v>26</v>
      </c>
      <c r="J39">
        <v>50175</v>
      </c>
    </row>
    <row r="40" spans="7:16" x14ac:dyDescent="0.3">
      <c r="G40">
        <v>100</v>
      </c>
      <c r="H40">
        <v>2</v>
      </c>
      <c r="I40">
        <v>13</v>
      </c>
      <c r="J40">
        <v>100363</v>
      </c>
      <c r="K40">
        <v>13</v>
      </c>
    </row>
    <row r="41" spans="7:16" x14ac:dyDescent="0.3">
      <c r="G41">
        <v>50</v>
      </c>
      <c r="H41">
        <v>2</v>
      </c>
      <c r="I41">
        <v>13</v>
      </c>
      <c r="J41">
        <v>200600</v>
      </c>
      <c r="N41" t="s">
        <v>29</v>
      </c>
    </row>
    <row r="42" spans="7:16" x14ac:dyDescent="0.3">
      <c r="G42">
        <v>10</v>
      </c>
      <c r="H42">
        <v>2</v>
      </c>
      <c r="I42">
        <v>13</v>
      </c>
      <c r="J42">
        <v>1003300</v>
      </c>
    </row>
    <row r="43" spans="7:16" x14ac:dyDescent="0.3">
      <c r="G43">
        <v>10</v>
      </c>
      <c r="H43">
        <v>2</v>
      </c>
      <c r="I43">
        <v>6</v>
      </c>
      <c r="J43">
        <v>2175000</v>
      </c>
      <c r="K43">
        <v>7</v>
      </c>
    </row>
  </sheetData>
  <mergeCells count="1">
    <mergeCell ref="M24:P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E1988-8251-41F0-B3B2-53FB1BCA204D}">
  <dimension ref="A2:T210"/>
  <sheetViews>
    <sheetView tabSelected="1" workbookViewId="0">
      <selection activeCell="O6" sqref="O6"/>
    </sheetView>
  </sheetViews>
  <sheetFormatPr defaultRowHeight="14.4" x14ac:dyDescent="0.3"/>
  <cols>
    <col min="2" max="2" width="9.6640625" customWidth="1"/>
    <col min="3" max="3" width="23.6640625" customWidth="1"/>
  </cols>
  <sheetData>
    <row r="2" spans="2:20" x14ac:dyDescent="0.3">
      <c r="K2" t="s">
        <v>23</v>
      </c>
      <c r="L2" t="s">
        <v>24</v>
      </c>
      <c r="M2" t="s">
        <v>25</v>
      </c>
      <c r="N2" t="s">
        <v>27</v>
      </c>
      <c r="P2" t="s">
        <v>26</v>
      </c>
    </row>
    <row r="3" spans="2:20" x14ac:dyDescent="0.3">
      <c r="K3">
        <v>1</v>
      </c>
      <c r="L3">
        <v>260</v>
      </c>
      <c r="N3">
        <f>(K3+1)*(L3+1)/275000</f>
        <v>1.8981818181818182E-3</v>
      </c>
      <c r="P3" t="e">
        <f>1/(N3/1000)/O3</f>
        <v>#DIV/0!</v>
      </c>
    </row>
    <row r="4" spans="2:20" x14ac:dyDescent="0.3">
      <c r="C4" t="s">
        <v>31</v>
      </c>
      <c r="D4">
        <v>-1</v>
      </c>
      <c r="F4">
        <v>2</v>
      </c>
      <c r="G4">
        <v>3</v>
      </c>
      <c r="H4">
        <v>4</v>
      </c>
      <c r="I4">
        <v>4</v>
      </c>
      <c r="J4">
        <v>5</v>
      </c>
      <c r="K4">
        <v>5</v>
      </c>
      <c r="L4">
        <v>4</v>
      </c>
      <c r="M4">
        <v>0</v>
      </c>
    </row>
    <row r="5" spans="2:20" x14ac:dyDescent="0.3">
      <c r="D5">
        <v>1</v>
      </c>
      <c r="E5">
        <v>2</v>
      </c>
      <c r="F5">
        <v>3</v>
      </c>
      <c r="G5">
        <v>4</v>
      </c>
      <c r="H5">
        <v>5</v>
      </c>
      <c r="I5">
        <v>6</v>
      </c>
      <c r="J5">
        <v>7</v>
      </c>
      <c r="K5">
        <v>8</v>
      </c>
      <c r="L5">
        <v>9</v>
      </c>
      <c r="M5">
        <v>10</v>
      </c>
      <c r="Q5" s="27"/>
      <c r="R5" s="4"/>
      <c r="S5" s="4"/>
      <c r="T5" s="5"/>
    </row>
    <row r="6" spans="2:20" x14ac:dyDescent="0.3">
      <c r="B6">
        <v>0</v>
      </c>
      <c r="D6" s="16">
        <v>34375</v>
      </c>
      <c r="E6" s="17">
        <v>30937</v>
      </c>
      <c r="F6" s="17">
        <v>27499</v>
      </c>
      <c r="G6" s="17">
        <v>24061</v>
      </c>
      <c r="H6" s="17">
        <v>20623</v>
      </c>
      <c r="I6" s="17">
        <v>17185</v>
      </c>
      <c r="J6" s="17">
        <v>13747</v>
      </c>
      <c r="K6" s="17">
        <v>10309</v>
      </c>
      <c r="L6" s="17">
        <v>6871</v>
      </c>
      <c r="M6" s="17">
        <v>3433</v>
      </c>
      <c r="N6" s="18">
        <v>10</v>
      </c>
      <c r="O6" s="23"/>
      <c r="Q6" s="6"/>
      <c r="R6" s="7"/>
      <c r="S6" s="7"/>
      <c r="T6" s="8"/>
    </row>
    <row r="7" spans="2:20" x14ac:dyDescent="0.3">
      <c r="B7">
        <v>2</v>
      </c>
      <c r="D7" s="26">
        <v>2950</v>
      </c>
      <c r="E7" s="25">
        <v>2708</v>
      </c>
      <c r="F7" s="25">
        <v>2503</v>
      </c>
      <c r="G7" s="25">
        <v>2329</v>
      </c>
      <c r="H7" s="25">
        <v>2328</v>
      </c>
      <c r="I7" s="25">
        <v>2035</v>
      </c>
      <c r="J7" s="25">
        <v>1916</v>
      </c>
      <c r="K7" s="25">
        <v>1811</v>
      </c>
      <c r="L7" s="25">
        <v>1710</v>
      </c>
      <c r="M7" s="25">
        <v>1634</v>
      </c>
      <c r="N7" s="18">
        <v>20</v>
      </c>
      <c r="O7" s="23">
        <v>9</v>
      </c>
      <c r="Q7" s="6"/>
      <c r="R7" s="7"/>
      <c r="S7" s="7"/>
      <c r="T7" s="8"/>
    </row>
    <row r="8" spans="2:20" x14ac:dyDescent="0.3">
      <c r="B8">
        <v>3</v>
      </c>
      <c r="D8" s="18">
        <v>3054</v>
      </c>
      <c r="E8" s="23">
        <v>3019</v>
      </c>
      <c r="F8" s="23">
        <v>2985</v>
      </c>
      <c r="G8" s="23">
        <v>2950</v>
      </c>
      <c r="H8" s="23">
        <v>2916</v>
      </c>
      <c r="I8" s="23">
        <v>2881</v>
      </c>
      <c r="J8" s="23">
        <v>2847</v>
      </c>
      <c r="K8" s="23">
        <v>2812</v>
      </c>
      <c r="L8" s="23">
        <v>2778</v>
      </c>
      <c r="M8" s="25">
        <v>1085</v>
      </c>
      <c r="N8" s="18">
        <v>30</v>
      </c>
      <c r="O8" s="23">
        <v>18</v>
      </c>
      <c r="Q8" s="6"/>
      <c r="R8" s="7"/>
      <c r="S8" s="7"/>
      <c r="T8" s="8"/>
    </row>
    <row r="9" spans="2:20" x14ac:dyDescent="0.3">
      <c r="B9">
        <v>4</v>
      </c>
      <c r="D9" s="18">
        <v>2708</v>
      </c>
      <c r="E9" s="23">
        <v>2674</v>
      </c>
      <c r="F9" s="23">
        <v>2639</v>
      </c>
      <c r="G9" s="23">
        <v>2604</v>
      </c>
      <c r="H9" s="23">
        <v>2570</v>
      </c>
      <c r="I9" s="23">
        <v>2535</v>
      </c>
      <c r="J9" s="23">
        <v>2501</v>
      </c>
      <c r="K9" s="23">
        <v>2466</v>
      </c>
      <c r="L9" s="23">
        <v>2432</v>
      </c>
      <c r="M9" s="23">
        <v>2397</v>
      </c>
      <c r="N9" s="18">
        <v>40</v>
      </c>
      <c r="O9" s="23">
        <v>27</v>
      </c>
      <c r="Q9" s="6"/>
      <c r="R9" s="7"/>
      <c r="S9" s="7"/>
      <c r="T9" s="8"/>
    </row>
    <row r="10" spans="2:20" x14ac:dyDescent="0.3">
      <c r="B10">
        <v>5</v>
      </c>
      <c r="D10" s="18">
        <v>2363</v>
      </c>
      <c r="E10" s="23">
        <v>2328</v>
      </c>
      <c r="F10" s="23">
        <v>2294</v>
      </c>
      <c r="G10" s="23">
        <v>2259</v>
      </c>
      <c r="H10" s="23">
        <v>2225</v>
      </c>
      <c r="I10" s="23">
        <v>2190</v>
      </c>
      <c r="J10" s="23">
        <v>2156</v>
      </c>
      <c r="K10" s="23">
        <v>2121</v>
      </c>
      <c r="L10" s="23">
        <v>2087</v>
      </c>
      <c r="M10" s="23">
        <v>2052</v>
      </c>
      <c r="N10" s="18">
        <v>50</v>
      </c>
      <c r="O10" s="23">
        <v>34</v>
      </c>
      <c r="Q10" s="9"/>
      <c r="R10" s="10"/>
      <c r="S10" s="10"/>
      <c r="T10" s="11"/>
    </row>
    <row r="11" spans="2:20" x14ac:dyDescent="0.3">
      <c r="B11">
        <v>6</v>
      </c>
      <c r="D11" s="18">
        <v>2018</v>
      </c>
      <c r="E11" s="23">
        <v>1949</v>
      </c>
      <c r="F11" s="23">
        <v>1914</v>
      </c>
      <c r="G11" s="23">
        <v>1880</v>
      </c>
      <c r="H11" s="23">
        <v>1845</v>
      </c>
      <c r="I11" s="23">
        <v>1811</v>
      </c>
      <c r="J11" s="23">
        <v>1776</v>
      </c>
      <c r="K11" s="23">
        <v>1742</v>
      </c>
      <c r="L11" s="23">
        <v>1707</v>
      </c>
      <c r="M11" s="23">
        <v>1707</v>
      </c>
      <c r="N11" s="18">
        <v>60</v>
      </c>
      <c r="O11" s="23">
        <v>40</v>
      </c>
    </row>
    <row r="12" spans="2:20" x14ac:dyDescent="0.3">
      <c r="B12">
        <v>7</v>
      </c>
      <c r="D12" s="18">
        <v>1673</v>
      </c>
      <c r="E12" s="23">
        <v>1638</v>
      </c>
      <c r="F12" s="23">
        <v>1604</v>
      </c>
      <c r="G12" s="23">
        <v>1569</v>
      </c>
      <c r="H12" s="23">
        <v>1500</v>
      </c>
      <c r="I12" s="23">
        <v>1466</v>
      </c>
      <c r="J12" s="23">
        <v>1431</v>
      </c>
      <c r="K12" s="23">
        <v>1397</v>
      </c>
      <c r="L12" s="23">
        <v>1362</v>
      </c>
      <c r="M12" s="23">
        <v>1362</v>
      </c>
      <c r="N12" s="18">
        <v>70</v>
      </c>
      <c r="O12" s="23">
        <v>45</v>
      </c>
    </row>
    <row r="13" spans="2:20" x14ac:dyDescent="0.3">
      <c r="B13">
        <v>8</v>
      </c>
      <c r="D13" s="18">
        <v>1327</v>
      </c>
      <c r="E13" s="23">
        <v>1293</v>
      </c>
      <c r="F13" s="23">
        <v>1258</v>
      </c>
      <c r="G13" s="23">
        <v>1224</v>
      </c>
      <c r="H13" s="23">
        <v>1189</v>
      </c>
      <c r="I13" s="23">
        <v>1154</v>
      </c>
      <c r="J13" s="23">
        <v>1120</v>
      </c>
      <c r="K13" s="23">
        <v>1085</v>
      </c>
      <c r="L13" s="23">
        <v>1051</v>
      </c>
      <c r="M13" s="23">
        <v>1016</v>
      </c>
      <c r="N13" s="18">
        <v>80</v>
      </c>
      <c r="O13" s="23">
        <v>47</v>
      </c>
    </row>
    <row r="14" spans="2:20" x14ac:dyDescent="0.3">
      <c r="B14">
        <v>9</v>
      </c>
      <c r="D14" s="18">
        <v>982</v>
      </c>
      <c r="E14" s="23">
        <v>947</v>
      </c>
      <c r="F14" s="23">
        <v>913</v>
      </c>
      <c r="G14" s="23">
        <v>878</v>
      </c>
      <c r="H14" s="23">
        <v>844</v>
      </c>
      <c r="I14" s="23">
        <v>809</v>
      </c>
      <c r="J14" s="23">
        <v>775</v>
      </c>
      <c r="K14" s="23">
        <v>740</v>
      </c>
      <c r="L14" s="23">
        <v>706</v>
      </c>
      <c r="M14" s="23">
        <v>671</v>
      </c>
      <c r="N14" s="18">
        <v>90</v>
      </c>
      <c r="O14" s="23">
        <v>39</v>
      </c>
      <c r="Q14" t="s">
        <v>32</v>
      </c>
    </row>
    <row r="15" spans="2:20" x14ac:dyDescent="0.3">
      <c r="B15">
        <v>10</v>
      </c>
      <c r="D15" s="18">
        <v>637</v>
      </c>
      <c r="E15" s="23">
        <v>603</v>
      </c>
      <c r="F15" s="23">
        <v>568</v>
      </c>
      <c r="G15" s="23">
        <v>534</v>
      </c>
      <c r="H15" s="23">
        <v>499</v>
      </c>
      <c r="I15" s="23">
        <v>465</v>
      </c>
      <c r="J15" s="23">
        <v>430</v>
      </c>
      <c r="K15" s="23">
        <v>396</v>
      </c>
      <c r="L15" s="23">
        <v>361</v>
      </c>
      <c r="M15" s="19">
        <v>326</v>
      </c>
      <c r="N15" s="18">
        <v>100</v>
      </c>
      <c r="O15" s="23">
        <v>-4</v>
      </c>
      <c r="Q15" s="28">
        <v>2</v>
      </c>
    </row>
    <row r="16" spans="2:20" x14ac:dyDescent="0.3">
      <c r="B16">
        <v>11</v>
      </c>
      <c r="D16" s="18">
        <v>322</v>
      </c>
      <c r="E16" s="19">
        <v>318</v>
      </c>
      <c r="F16" s="23">
        <v>315</v>
      </c>
      <c r="G16" s="23">
        <v>312</v>
      </c>
      <c r="H16" s="23">
        <v>309</v>
      </c>
      <c r="I16" s="23">
        <v>306</v>
      </c>
      <c r="J16" s="23">
        <v>303</v>
      </c>
      <c r="K16" s="23">
        <v>300</v>
      </c>
      <c r="L16" s="23">
        <v>298</v>
      </c>
      <c r="M16" s="23">
        <v>295</v>
      </c>
      <c r="N16" s="18"/>
      <c r="O16" s="23">
        <v>-5</v>
      </c>
    </row>
    <row r="17" spans="1:19" x14ac:dyDescent="0.3">
      <c r="B17">
        <v>12</v>
      </c>
      <c r="D17" s="18">
        <v>292</v>
      </c>
      <c r="E17" s="19">
        <v>289</v>
      </c>
      <c r="F17" s="23">
        <v>287</v>
      </c>
      <c r="G17" s="23">
        <v>285</v>
      </c>
      <c r="H17" s="23">
        <v>282</v>
      </c>
      <c r="I17" s="23">
        <v>280</v>
      </c>
      <c r="J17" s="23">
        <v>277</v>
      </c>
      <c r="K17" s="23">
        <v>275</v>
      </c>
      <c r="L17" s="23">
        <v>273</v>
      </c>
      <c r="M17" s="23">
        <v>270</v>
      </c>
      <c r="N17" s="18"/>
      <c r="O17" s="23">
        <v>-6</v>
      </c>
      <c r="Q17" t="s">
        <v>33</v>
      </c>
    </row>
    <row r="18" spans="1:19" x14ac:dyDescent="0.3">
      <c r="B18">
        <v>13</v>
      </c>
      <c r="D18" s="18">
        <v>268</v>
      </c>
      <c r="E18" s="19">
        <v>266</v>
      </c>
      <c r="F18" s="23">
        <v>264</v>
      </c>
      <c r="G18" s="23">
        <v>262</v>
      </c>
      <c r="H18" s="23">
        <v>259</v>
      </c>
      <c r="I18" s="23">
        <v>257</v>
      </c>
      <c r="J18" s="23">
        <v>255</v>
      </c>
      <c r="K18" s="23">
        <v>253</v>
      </c>
      <c r="L18" s="23">
        <v>251</v>
      </c>
      <c r="M18" s="23">
        <v>249</v>
      </c>
      <c r="N18" s="18">
        <v>130</v>
      </c>
      <c r="O18" s="23">
        <v>-7</v>
      </c>
      <c r="Q18" s="28">
        <f>275000000/((2)*(4000)*Q15)</f>
        <v>17187.5</v>
      </c>
    </row>
    <row r="19" spans="1:19" x14ac:dyDescent="0.3">
      <c r="B19">
        <v>14</v>
      </c>
      <c r="D19" s="18">
        <v>248</v>
      </c>
      <c r="E19" s="23">
        <v>246</v>
      </c>
      <c r="F19" s="23">
        <v>244</v>
      </c>
      <c r="G19" s="23">
        <v>242</v>
      </c>
      <c r="H19" s="23">
        <v>240</v>
      </c>
      <c r="I19" s="23">
        <v>238</v>
      </c>
      <c r="J19" s="23">
        <v>237</v>
      </c>
      <c r="K19" s="23">
        <v>235</v>
      </c>
      <c r="L19" s="23">
        <v>233</v>
      </c>
      <c r="M19" s="23">
        <v>231</v>
      </c>
      <c r="N19" s="18"/>
      <c r="O19" s="23">
        <v>-7</v>
      </c>
    </row>
    <row r="20" spans="1:19" x14ac:dyDescent="0.3">
      <c r="B20">
        <v>15</v>
      </c>
      <c r="D20" s="18">
        <v>230</v>
      </c>
      <c r="E20" s="23">
        <v>228</v>
      </c>
      <c r="F20" s="23">
        <v>227</v>
      </c>
      <c r="G20" s="23">
        <v>225</v>
      </c>
      <c r="H20" s="23">
        <v>224</v>
      </c>
      <c r="I20" s="23">
        <v>222</v>
      </c>
      <c r="J20" s="23">
        <v>221</v>
      </c>
      <c r="K20" s="23">
        <v>219</v>
      </c>
      <c r="L20" s="23">
        <v>218</v>
      </c>
      <c r="M20" s="23">
        <v>216</v>
      </c>
      <c r="N20" s="18"/>
      <c r="O20" s="23">
        <v>-7</v>
      </c>
      <c r="Q20" t="s">
        <v>34</v>
      </c>
    </row>
    <row r="21" spans="1:19" x14ac:dyDescent="0.3">
      <c r="B21">
        <v>16</v>
      </c>
      <c r="D21" s="18">
        <v>215</v>
      </c>
      <c r="E21" s="23">
        <v>213</v>
      </c>
      <c r="F21" s="23">
        <v>212</v>
      </c>
      <c r="G21" s="23">
        <v>210</v>
      </c>
      <c r="H21" s="23">
        <v>209</v>
      </c>
      <c r="I21" s="23">
        <v>208</v>
      </c>
      <c r="J21" s="23">
        <v>206</v>
      </c>
      <c r="K21" s="23">
        <v>205</v>
      </c>
      <c r="L21" s="23">
        <v>203</v>
      </c>
      <c r="M21" s="23">
        <v>202</v>
      </c>
      <c r="N21" s="18"/>
      <c r="O21" s="23">
        <v>-8</v>
      </c>
      <c r="Q21">
        <f>E6-Q18</f>
        <v>13749.5</v>
      </c>
    </row>
    <row r="22" spans="1:19" x14ac:dyDescent="0.3">
      <c r="B22">
        <v>17</v>
      </c>
      <c r="D22" s="18">
        <v>201</v>
      </c>
      <c r="E22" s="23">
        <v>200</v>
      </c>
      <c r="F22" s="23">
        <v>199</v>
      </c>
      <c r="G22" s="23">
        <v>198</v>
      </c>
      <c r="H22" s="23">
        <v>197</v>
      </c>
      <c r="I22" s="23">
        <v>195</v>
      </c>
      <c r="J22" s="23">
        <v>194</v>
      </c>
      <c r="K22" s="23">
        <v>193</v>
      </c>
      <c r="L22" s="23">
        <v>192</v>
      </c>
      <c r="M22" s="23">
        <v>191</v>
      </c>
      <c r="N22" s="18"/>
      <c r="O22" s="23">
        <v>-7</v>
      </c>
    </row>
    <row r="23" spans="1:19" x14ac:dyDescent="0.3">
      <c r="B23">
        <v>18</v>
      </c>
      <c r="D23" s="18">
        <v>190</v>
      </c>
      <c r="E23" s="23">
        <v>189</v>
      </c>
      <c r="F23" s="23">
        <v>188</v>
      </c>
      <c r="G23" s="23">
        <v>187</v>
      </c>
      <c r="H23" s="23">
        <v>186</v>
      </c>
      <c r="I23" s="23">
        <v>184</v>
      </c>
      <c r="J23" s="23">
        <v>183</v>
      </c>
      <c r="K23" s="23">
        <v>182</v>
      </c>
      <c r="L23" s="23">
        <v>181</v>
      </c>
      <c r="M23" s="19">
        <v>180</v>
      </c>
      <c r="N23" s="18"/>
      <c r="O23" s="23">
        <v>-9</v>
      </c>
      <c r="Q23" t="s">
        <v>35</v>
      </c>
      <c r="S23" t="s">
        <v>38</v>
      </c>
    </row>
    <row r="24" spans="1:19" x14ac:dyDescent="0.3">
      <c r="B24">
        <v>19</v>
      </c>
      <c r="D24" s="18">
        <v>179</v>
      </c>
      <c r="E24" s="23">
        <v>178</v>
      </c>
      <c r="F24" s="23">
        <v>177</v>
      </c>
      <c r="G24" s="23">
        <v>176</v>
      </c>
      <c r="H24" s="23">
        <v>175</v>
      </c>
      <c r="I24" s="23">
        <v>174</v>
      </c>
      <c r="J24" s="23">
        <v>173</v>
      </c>
      <c r="K24" s="23">
        <v>172</v>
      </c>
      <c r="L24" s="23">
        <v>171</v>
      </c>
      <c r="M24" s="19">
        <v>170</v>
      </c>
      <c r="N24" s="18"/>
      <c r="O24" s="23">
        <v>-9</v>
      </c>
      <c r="Q24" s="28">
        <v>202</v>
      </c>
      <c r="S24" s="28">
        <f>ABS(Q24-Q26)/10</f>
        <v>1.1000000000000001</v>
      </c>
    </row>
    <row r="25" spans="1:19" x14ac:dyDescent="0.3">
      <c r="B25">
        <v>20</v>
      </c>
      <c r="D25" s="18">
        <v>169</v>
      </c>
      <c r="E25" s="23">
        <v>168</v>
      </c>
      <c r="F25" s="23">
        <v>168</v>
      </c>
      <c r="G25" s="23">
        <v>167</v>
      </c>
      <c r="H25" s="23">
        <v>166</v>
      </c>
      <c r="I25" s="23">
        <v>165</v>
      </c>
      <c r="J25" s="23">
        <v>164</v>
      </c>
      <c r="K25" s="23">
        <v>164</v>
      </c>
      <c r="L25" s="23">
        <v>163</v>
      </c>
      <c r="M25" s="19">
        <v>162</v>
      </c>
      <c r="N25" s="18"/>
      <c r="O25" s="23">
        <v>-9</v>
      </c>
      <c r="Q25" t="s">
        <v>36</v>
      </c>
    </row>
    <row r="26" spans="1:19" x14ac:dyDescent="0.3">
      <c r="B26">
        <v>21</v>
      </c>
      <c r="D26" s="18">
        <v>161</v>
      </c>
      <c r="E26" s="23">
        <v>160</v>
      </c>
      <c r="F26" s="23">
        <v>160</v>
      </c>
      <c r="G26" s="23">
        <v>159</v>
      </c>
      <c r="H26" s="23">
        <v>158</v>
      </c>
      <c r="I26" s="23">
        <v>157</v>
      </c>
      <c r="J26" s="23">
        <v>156</v>
      </c>
      <c r="K26" s="23">
        <v>156</v>
      </c>
      <c r="L26" s="23">
        <v>154</v>
      </c>
      <c r="M26" s="19">
        <v>154</v>
      </c>
      <c r="N26" s="18"/>
      <c r="O26" s="23">
        <v>-10</v>
      </c>
      <c r="Q26" s="28">
        <v>191</v>
      </c>
    </row>
    <row r="27" spans="1:19" x14ac:dyDescent="0.3">
      <c r="B27">
        <v>22</v>
      </c>
      <c r="D27" s="18">
        <v>153</v>
      </c>
      <c r="E27" s="23">
        <v>153</v>
      </c>
      <c r="F27" s="23">
        <v>152</v>
      </c>
      <c r="G27" s="23">
        <v>151</v>
      </c>
      <c r="H27" s="23">
        <v>151</v>
      </c>
      <c r="I27" s="23">
        <v>150</v>
      </c>
      <c r="J27" s="23">
        <v>149</v>
      </c>
      <c r="K27" s="23">
        <v>148</v>
      </c>
      <c r="L27" s="23">
        <v>148</v>
      </c>
      <c r="M27" s="19">
        <v>147</v>
      </c>
      <c r="N27" s="18"/>
      <c r="O27" s="23">
        <v>-10</v>
      </c>
      <c r="Q27" t="s">
        <v>37</v>
      </c>
    </row>
    <row r="28" spans="1:19" x14ac:dyDescent="0.3">
      <c r="B28">
        <v>23</v>
      </c>
      <c r="D28" s="18">
        <v>146</v>
      </c>
      <c r="E28" s="23">
        <v>146</v>
      </c>
      <c r="F28" s="23">
        <v>145</v>
      </c>
      <c r="G28" s="23">
        <v>145</v>
      </c>
      <c r="H28" s="23">
        <v>144</v>
      </c>
      <c r="I28" s="23">
        <v>143</v>
      </c>
      <c r="J28" s="23">
        <v>143</v>
      </c>
      <c r="K28" s="23">
        <v>142</v>
      </c>
      <c r="L28" s="23">
        <v>142</v>
      </c>
      <c r="M28" s="19">
        <v>141</v>
      </c>
      <c r="N28" s="18"/>
      <c r="O28" s="23">
        <v>-10</v>
      </c>
      <c r="Q28" s="28">
        <v>10</v>
      </c>
    </row>
    <row r="29" spans="1:19" x14ac:dyDescent="0.3">
      <c r="B29">
        <v>24</v>
      </c>
      <c r="D29" s="18">
        <v>140</v>
      </c>
      <c r="E29" s="23">
        <v>140</v>
      </c>
      <c r="F29" s="23">
        <v>139</v>
      </c>
      <c r="G29" s="23">
        <v>139</v>
      </c>
      <c r="H29" s="23">
        <v>138</v>
      </c>
      <c r="I29" s="23">
        <v>137</v>
      </c>
      <c r="J29" s="23">
        <v>137</v>
      </c>
      <c r="K29" s="23">
        <v>136</v>
      </c>
      <c r="L29" s="23">
        <v>136</v>
      </c>
      <c r="M29" s="19">
        <v>135</v>
      </c>
      <c r="N29" s="18"/>
      <c r="O29" s="23">
        <v>-10</v>
      </c>
    </row>
    <row r="30" spans="1:19" x14ac:dyDescent="0.3">
      <c r="B30">
        <v>25</v>
      </c>
      <c r="D30" s="18">
        <v>134</v>
      </c>
      <c r="E30" s="23">
        <v>134</v>
      </c>
      <c r="F30" s="23">
        <v>133</v>
      </c>
      <c r="G30" s="23">
        <v>133</v>
      </c>
      <c r="H30" s="23">
        <v>132</v>
      </c>
      <c r="I30" s="23">
        <v>131</v>
      </c>
      <c r="J30" s="23">
        <v>131</v>
      </c>
      <c r="K30" s="23">
        <v>130</v>
      </c>
      <c r="L30" s="23">
        <v>130</v>
      </c>
      <c r="M30" s="19">
        <v>129</v>
      </c>
      <c r="N30" s="18">
        <v>250</v>
      </c>
      <c r="O30" s="23">
        <v>-12</v>
      </c>
    </row>
    <row r="31" spans="1:19" x14ac:dyDescent="0.3">
      <c r="A31" t="s">
        <v>28</v>
      </c>
      <c r="B31">
        <v>26</v>
      </c>
      <c r="D31" s="18">
        <v>258</v>
      </c>
      <c r="E31" s="23">
        <v>257</v>
      </c>
      <c r="F31" s="23">
        <v>256</v>
      </c>
      <c r="G31" s="23">
        <v>256</v>
      </c>
      <c r="H31" s="23">
        <v>255</v>
      </c>
      <c r="I31" s="23">
        <v>254</v>
      </c>
      <c r="J31" s="23">
        <v>253</v>
      </c>
      <c r="K31" s="23">
        <v>252</v>
      </c>
      <c r="L31" s="23">
        <v>251</v>
      </c>
      <c r="M31" s="23">
        <v>250</v>
      </c>
      <c r="N31" s="18"/>
      <c r="O31" s="23">
        <v>-12</v>
      </c>
    </row>
    <row r="32" spans="1:19" x14ac:dyDescent="0.3">
      <c r="B32">
        <v>27</v>
      </c>
      <c r="D32" s="18">
        <v>249</v>
      </c>
      <c r="E32" s="23">
        <v>248</v>
      </c>
      <c r="F32" s="23">
        <v>247</v>
      </c>
      <c r="G32" s="23">
        <v>246</v>
      </c>
      <c r="H32" s="23">
        <v>245</v>
      </c>
      <c r="I32" s="23">
        <v>245</v>
      </c>
      <c r="J32" s="23">
        <v>244</v>
      </c>
      <c r="K32" s="23">
        <v>243</v>
      </c>
      <c r="L32" s="23">
        <v>242</v>
      </c>
      <c r="M32" s="23">
        <v>241</v>
      </c>
      <c r="N32" s="18">
        <v>270</v>
      </c>
      <c r="O32" s="23">
        <v>-12</v>
      </c>
    </row>
    <row r="33" spans="2:15" x14ac:dyDescent="0.3">
      <c r="B33">
        <v>28</v>
      </c>
      <c r="D33" s="18">
        <v>240</v>
      </c>
      <c r="E33" s="23">
        <v>239</v>
      </c>
      <c r="F33" s="23">
        <v>238</v>
      </c>
      <c r="G33" s="23">
        <v>237</v>
      </c>
      <c r="H33" s="23">
        <v>237</v>
      </c>
      <c r="I33" s="23">
        <v>236</v>
      </c>
      <c r="J33" s="23">
        <v>235</v>
      </c>
      <c r="K33" s="23">
        <v>234</v>
      </c>
      <c r="L33" s="23">
        <v>233</v>
      </c>
      <c r="M33" s="23">
        <v>232</v>
      </c>
      <c r="N33" s="18"/>
      <c r="O33" s="23">
        <v>-13</v>
      </c>
    </row>
    <row r="34" spans="2:15" x14ac:dyDescent="0.3">
      <c r="B34">
        <v>29</v>
      </c>
      <c r="D34" s="18">
        <v>231</v>
      </c>
      <c r="E34" s="23">
        <v>230</v>
      </c>
      <c r="F34" s="23">
        <v>230</v>
      </c>
      <c r="G34" s="23">
        <v>229</v>
      </c>
      <c r="H34" s="23">
        <v>228</v>
      </c>
      <c r="I34" s="23">
        <v>227</v>
      </c>
      <c r="J34" s="23">
        <v>226</v>
      </c>
      <c r="K34" s="23">
        <v>226</v>
      </c>
      <c r="L34" s="23">
        <v>225</v>
      </c>
      <c r="M34" s="23">
        <v>224</v>
      </c>
      <c r="N34" s="18">
        <v>290</v>
      </c>
      <c r="O34" s="23">
        <v>-14</v>
      </c>
    </row>
    <row r="35" spans="2:15" x14ac:dyDescent="0.3">
      <c r="B35">
        <v>30</v>
      </c>
      <c r="D35" s="18">
        <v>223</v>
      </c>
      <c r="E35" s="23">
        <v>222</v>
      </c>
      <c r="F35" s="23">
        <v>222</v>
      </c>
      <c r="G35" s="23">
        <v>221</v>
      </c>
      <c r="H35" s="23">
        <v>220</v>
      </c>
      <c r="I35" s="23">
        <v>219</v>
      </c>
      <c r="J35" s="23">
        <v>218</v>
      </c>
      <c r="K35" s="23">
        <v>218</v>
      </c>
      <c r="L35" s="23">
        <v>217</v>
      </c>
      <c r="M35" s="23">
        <v>216</v>
      </c>
      <c r="N35" s="18"/>
      <c r="O35" s="23">
        <v>-15</v>
      </c>
    </row>
    <row r="36" spans="2:15" x14ac:dyDescent="0.3">
      <c r="B36">
        <v>31</v>
      </c>
      <c r="D36" s="18">
        <v>216</v>
      </c>
      <c r="E36" s="23">
        <v>215</v>
      </c>
      <c r="F36" s="23">
        <v>215</v>
      </c>
      <c r="G36" s="23">
        <v>214</v>
      </c>
      <c r="H36" s="23">
        <v>213</v>
      </c>
      <c r="I36" s="23">
        <v>213</v>
      </c>
      <c r="J36" s="23">
        <v>212</v>
      </c>
      <c r="K36" s="23">
        <v>211</v>
      </c>
      <c r="L36" s="23">
        <v>210</v>
      </c>
      <c r="M36" s="23">
        <v>209</v>
      </c>
      <c r="N36" s="18"/>
      <c r="O36" s="23">
        <v>-15</v>
      </c>
    </row>
    <row r="37" spans="2:15" x14ac:dyDescent="0.3">
      <c r="B37">
        <v>32</v>
      </c>
      <c r="D37" s="18">
        <v>208</v>
      </c>
      <c r="E37" s="23">
        <v>208</v>
      </c>
      <c r="F37" s="23">
        <v>207</v>
      </c>
      <c r="G37" s="23">
        <v>207</v>
      </c>
      <c r="H37" s="23">
        <v>206</v>
      </c>
      <c r="I37" s="23">
        <v>205</v>
      </c>
      <c r="J37" s="23">
        <v>205</v>
      </c>
      <c r="K37" s="23">
        <v>204</v>
      </c>
      <c r="L37" s="23">
        <v>204</v>
      </c>
      <c r="M37" s="23">
        <v>203</v>
      </c>
      <c r="N37" s="18">
        <v>320</v>
      </c>
      <c r="O37" s="23">
        <v>-15</v>
      </c>
    </row>
    <row r="38" spans="2:15" x14ac:dyDescent="0.3">
      <c r="B38">
        <v>33</v>
      </c>
      <c r="D38" s="18">
        <v>202</v>
      </c>
      <c r="E38" s="23">
        <v>202</v>
      </c>
      <c r="F38" s="23">
        <v>201</v>
      </c>
      <c r="G38" s="23">
        <v>201</v>
      </c>
      <c r="H38" s="23">
        <v>200</v>
      </c>
      <c r="I38" s="23">
        <v>199</v>
      </c>
      <c r="J38" s="23">
        <v>199</v>
      </c>
      <c r="K38" s="23">
        <v>198</v>
      </c>
      <c r="L38" s="23">
        <v>198</v>
      </c>
      <c r="M38" s="23">
        <v>197</v>
      </c>
      <c r="N38" s="18"/>
      <c r="O38" s="23">
        <v>-15</v>
      </c>
    </row>
    <row r="39" spans="2:15" x14ac:dyDescent="0.3">
      <c r="B39">
        <v>34</v>
      </c>
      <c r="D39" s="18">
        <v>196</v>
      </c>
      <c r="E39" s="23">
        <v>196</v>
      </c>
      <c r="F39" s="23">
        <v>195</v>
      </c>
      <c r="G39" s="23">
        <v>195</v>
      </c>
      <c r="H39" s="23">
        <v>194</v>
      </c>
      <c r="I39" s="23">
        <v>193</v>
      </c>
      <c r="J39" s="23">
        <v>193</v>
      </c>
      <c r="K39" s="23">
        <v>192</v>
      </c>
      <c r="L39" s="23">
        <v>192</v>
      </c>
      <c r="M39" s="23">
        <v>191</v>
      </c>
      <c r="N39" s="18"/>
      <c r="O39" s="23">
        <v>-16</v>
      </c>
    </row>
    <row r="40" spans="2:15" x14ac:dyDescent="0.3">
      <c r="B40">
        <v>35</v>
      </c>
      <c r="D40" s="18">
        <v>190</v>
      </c>
      <c r="E40" s="23">
        <v>190</v>
      </c>
      <c r="F40" s="23">
        <v>189</v>
      </c>
      <c r="G40" s="23">
        <v>189</v>
      </c>
      <c r="H40" s="23">
        <v>188</v>
      </c>
      <c r="I40" s="23">
        <v>187</v>
      </c>
      <c r="J40" s="23">
        <v>187</v>
      </c>
      <c r="K40" s="23">
        <v>186</v>
      </c>
      <c r="L40" s="23">
        <v>186</v>
      </c>
      <c r="M40" s="23">
        <v>185</v>
      </c>
      <c r="N40" s="18">
        <v>350</v>
      </c>
      <c r="O40" s="23">
        <v>-17</v>
      </c>
    </row>
    <row r="41" spans="2:15" x14ac:dyDescent="0.3">
      <c r="B41">
        <v>36</v>
      </c>
      <c r="D41" s="18">
        <v>185</v>
      </c>
      <c r="E41" s="23">
        <v>184</v>
      </c>
      <c r="F41" s="23">
        <v>184</v>
      </c>
      <c r="G41" s="23">
        <v>183</v>
      </c>
      <c r="H41" s="23">
        <v>183</v>
      </c>
      <c r="I41" s="23">
        <v>182</v>
      </c>
      <c r="J41" s="23">
        <v>182</v>
      </c>
      <c r="K41" s="23">
        <v>181</v>
      </c>
      <c r="L41" s="23">
        <v>181</v>
      </c>
      <c r="M41" s="23">
        <v>180</v>
      </c>
      <c r="N41" s="18"/>
      <c r="O41" s="23">
        <v>-17</v>
      </c>
    </row>
    <row r="42" spans="2:15" x14ac:dyDescent="0.3">
      <c r="B42">
        <v>37</v>
      </c>
      <c r="D42" s="18">
        <v>180</v>
      </c>
      <c r="E42" s="23">
        <v>179</v>
      </c>
      <c r="F42" s="23">
        <v>179</v>
      </c>
      <c r="G42" s="23">
        <v>178</v>
      </c>
      <c r="H42" s="23">
        <v>178</v>
      </c>
      <c r="I42" s="23">
        <v>177</v>
      </c>
      <c r="J42" s="23">
        <v>177</v>
      </c>
      <c r="K42" s="23">
        <v>176</v>
      </c>
      <c r="L42" s="23">
        <v>176</v>
      </c>
      <c r="M42" s="23">
        <v>175</v>
      </c>
      <c r="N42" s="18"/>
    </row>
    <row r="43" spans="2:15" x14ac:dyDescent="0.3">
      <c r="B43">
        <v>38</v>
      </c>
      <c r="D43" s="18">
        <v>175</v>
      </c>
      <c r="E43" s="23">
        <v>174</v>
      </c>
      <c r="F43" s="23">
        <v>174</v>
      </c>
      <c r="G43" s="23">
        <v>173</v>
      </c>
      <c r="H43" s="23">
        <v>173</v>
      </c>
      <c r="I43" s="23">
        <v>173</v>
      </c>
      <c r="J43" s="23">
        <v>172</v>
      </c>
      <c r="K43" s="23">
        <v>172</v>
      </c>
      <c r="L43" s="23">
        <v>171</v>
      </c>
      <c r="M43" s="23">
        <v>171</v>
      </c>
      <c r="N43" s="18">
        <v>380</v>
      </c>
    </row>
    <row r="44" spans="2:15" x14ac:dyDescent="0.3">
      <c r="B44">
        <v>39</v>
      </c>
      <c r="D44" s="18">
        <v>171</v>
      </c>
      <c r="E44" s="23">
        <v>170</v>
      </c>
      <c r="F44" s="23">
        <v>170</v>
      </c>
      <c r="G44" s="23">
        <v>169</v>
      </c>
      <c r="H44" s="23">
        <v>169</v>
      </c>
      <c r="I44" s="23">
        <v>168</v>
      </c>
      <c r="J44" s="23">
        <v>168</v>
      </c>
      <c r="K44" s="23">
        <v>167</v>
      </c>
      <c r="L44" s="23">
        <v>167</v>
      </c>
      <c r="M44" s="23">
        <v>166</v>
      </c>
      <c r="N44" s="18"/>
      <c r="O44">
        <v>-19</v>
      </c>
    </row>
    <row r="45" spans="2:15" x14ac:dyDescent="0.3">
      <c r="B45">
        <v>40</v>
      </c>
      <c r="D45" s="18">
        <v>166</v>
      </c>
      <c r="E45" s="23">
        <v>165</v>
      </c>
      <c r="F45" s="23">
        <v>165</v>
      </c>
      <c r="G45" s="23">
        <v>164</v>
      </c>
      <c r="H45" s="23">
        <v>164</v>
      </c>
      <c r="I45" s="23">
        <v>164</v>
      </c>
      <c r="J45" s="23">
        <v>163</v>
      </c>
      <c r="K45" s="23">
        <v>163</v>
      </c>
      <c r="L45" s="23">
        <v>162</v>
      </c>
      <c r="M45" s="23">
        <v>162</v>
      </c>
      <c r="N45" s="18"/>
    </row>
    <row r="46" spans="2:15" x14ac:dyDescent="0.3">
      <c r="B46">
        <v>41</v>
      </c>
      <c r="D46" s="18">
        <v>162</v>
      </c>
      <c r="E46" s="23">
        <v>161</v>
      </c>
      <c r="F46" s="23">
        <v>161</v>
      </c>
      <c r="G46" s="23">
        <v>160</v>
      </c>
      <c r="H46" s="23">
        <v>160</v>
      </c>
      <c r="I46" s="23">
        <v>160</v>
      </c>
      <c r="J46" s="23">
        <v>159</v>
      </c>
      <c r="K46" s="23">
        <v>159</v>
      </c>
      <c r="L46" s="23">
        <v>158</v>
      </c>
      <c r="M46" s="23">
        <v>158</v>
      </c>
      <c r="N46" s="18">
        <v>410</v>
      </c>
    </row>
    <row r="47" spans="2:15" x14ac:dyDescent="0.3">
      <c r="B47">
        <v>42</v>
      </c>
      <c r="D47" s="18">
        <v>158</v>
      </c>
      <c r="E47" s="23">
        <v>157</v>
      </c>
      <c r="F47" s="23">
        <v>157</v>
      </c>
      <c r="G47" s="23">
        <v>156</v>
      </c>
      <c r="H47" s="23">
        <v>156</v>
      </c>
      <c r="I47" s="23">
        <v>156</v>
      </c>
      <c r="J47" s="23">
        <v>155</v>
      </c>
      <c r="K47" s="23">
        <v>155</v>
      </c>
      <c r="L47" s="23">
        <v>154</v>
      </c>
      <c r="M47" s="23">
        <v>154</v>
      </c>
      <c r="N47" s="18"/>
    </row>
    <row r="48" spans="2:15" x14ac:dyDescent="0.3">
      <c r="B48">
        <v>43</v>
      </c>
      <c r="D48" s="18">
        <v>154</v>
      </c>
      <c r="E48" s="23">
        <v>153</v>
      </c>
      <c r="F48" s="23">
        <v>153</v>
      </c>
      <c r="G48" s="23">
        <v>152</v>
      </c>
      <c r="H48" s="23">
        <v>152</v>
      </c>
      <c r="I48" s="23">
        <v>152</v>
      </c>
      <c r="J48" s="23">
        <v>151</v>
      </c>
      <c r="K48" s="23">
        <v>151</v>
      </c>
      <c r="L48" s="23">
        <v>150</v>
      </c>
      <c r="M48" s="23">
        <v>150</v>
      </c>
      <c r="N48" s="18"/>
      <c r="O48">
        <v>-22</v>
      </c>
    </row>
    <row r="49" spans="2:15" x14ac:dyDescent="0.3">
      <c r="B49">
        <v>44</v>
      </c>
      <c r="D49" s="18">
        <v>150</v>
      </c>
      <c r="E49" s="23">
        <v>149</v>
      </c>
      <c r="F49" s="23">
        <v>149</v>
      </c>
      <c r="G49" s="23">
        <v>149</v>
      </c>
      <c r="H49" s="23">
        <v>149</v>
      </c>
      <c r="I49" s="23">
        <v>148</v>
      </c>
      <c r="J49" s="23">
        <v>148</v>
      </c>
      <c r="K49" s="23">
        <v>148</v>
      </c>
      <c r="L49" s="23">
        <v>147</v>
      </c>
      <c r="M49" s="23">
        <v>147</v>
      </c>
      <c r="N49" s="18"/>
    </row>
    <row r="50" spans="2:15" x14ac:dyDescent="0.3">
      <c r="B50">
        <v>45</v>
      </c>
      <c r="D50" s="18">
        <v>147</v>
      </c>
      <c r="E50" s="23">
        <v>146</v>
      </c>
      <c r="F50" s="23">
        <v>146</v>
      </c>
      <c r="G50" s="23">
        <v>146</v>
      </c>
      <c r="H50" s="23">
        <v>146</v>
      </c>
      <c r="I50" s="23">
        <v>145</v>
      </c>
      <c r="J50" s="23">
        <v>145</v>
      </c>
      <c r="K50" s="23">
        <v>145</v>
      </c>
      <c r="L50" s="23">
        <v>144</v>
      </c>
      <c r="M50" s="23">
        <v>144</v>
      </c>
      <c r="N50" s="18"/>
    </row>
    <row r="51" spans="2:15" x14ac:dyDescent="0.3">
      <c r="B51">
        <v>46</v>
      </c>
      <c r="D51" s="18">
        <v>144</v>
      </c>
      <c r="E51" s="23">
        <v>143</v>
      </c>
      <c r="F51" s="23">
        <v>143</v>
      </c>
      <c r="G51" s="23">
        <v>143</v>
      </c>
      <c r="H51" s="23">
        <v>143</v>
      </c>
      <c r="I51" s="23">
        <v>142</v>
      </c>
      <c r="J51" s="23">
        <v>142</v>
      </c>
      <c r="K51" s="23">
        <v>142</v>
      </c>
      <c r="L51" s="23">
        <v>141</v>
      </c>
      <c r="M51" s="23">
        <v>141</v>
      </c>
      <c r="N51" s="18"/>
    </row>
    <row r="52" spans="2:15" x14ac:dyDescent="0.3">
      <c r="B52">
        <v>47</v>
      </c>
      <c r="D52" s="18">
        <v>141</v>
      </c>
      <c r="E52" s="23">
        <v>140</v>
      </c>
      <c r="F52" s="23">
        <v>140</v>
      </c>
      <c r="G52" s="23">
        <v>140</v>
      </c>
      <c r="H52" s="23">
        <v>140</v>
      </c>
      <c r="I52" s="23">
        <v>139</v>
      </c>
      <c r="J52" s="23">
        <v>139</v>
      </c>
      <c r="K52" s="23">
        <v>139</v>
      </c>
      <c r="L52" s="23">
        <v>138</v>
      </c>
      <c r="M52" s="23">
        <v>138</v>
      </c>
      <c r="N52" s="18"/>
    </row>
    <row r="53" spans="2:15" x14ac:dyDescent="0.3">
      <c r="B53">
        <v>48</v>
      </c>
      <c r="D53" s="18">
        <v>138</v>
      </c>
      <c r="E53" s="23">
        <v>137</v>
      </c>
      <c r="F53" s="23">
        <v>137</v>
      </c>
      <c r="G53" s="23">
        <v>137</v>
      </c>
      <c r="H53" s="23">
        <v>137</v>
      </c>
      <c r="I53" s="23">
        <v>136</v>
      </c>
      <c r="J53" s="23">
        <v>136</v>
      </c>
      <c r="K53" s="23">
        <v>136</v>
      </c>
      <c r="L53" s="23">
        <v>135</v>
      </c>
      <c r="M53" s="23">
        <v>135</v>
      </c>
      <c r="N53" s="18"/>
    </row>
    <row r="54" spans="2:15" x14ac:dyDescent="0.3">
      <c r="B54">
        <v>49</v>
      </c>
      <c r="D54" s="18">
        <v>135</v>
      </c>
      <c r="E54" s="23">
        <v>134</v>
      </c>
      <c r="F54" s="23">
        <v>134</v>
      </c>
      <c r="G54" s="23">
        <v>134</v>
      </c>
      <c r="H54" s="23">
        <v>134</v>
      </c>
      <c r="I54" s="23">
        <v>133</v>
      </c>
      <c r="J54" s="23">
        <v>133</v>
      </c>
      <c r="K54" s="23">
        <v>133</v>
      </c>
      <c r="L54" s="23">
        <v>132</v>
      </c>
      <c r="M54" s="23">
        <v>132</v>
      </c>
      <c r="N54" s="18"/>
    </row>
    <row r="55" spans="2:15" x14ac:dyDescent="0.3">
      <c r="B55">
        <v>50</v>
      </c>
      <c r="D55" s="18">
        <v>132</v>
      </c>
      <c r="E55" s="23">
        <v>131</v>
      </c>
      <c r="F55" s="23">
        <v>131</v>
      </c>
      <c r="G55" s="23">
        <v>131</v>
      </c>
      <c r="H55" s="23">
        <v>131</v>
      </c>
      <c r="I55" s="23">
        <v>130</v>
      </c>
      <c r="J55" s="23">
        <v>130</v>
      </c>
      <c r="K55" s="23">
        <v>130</v>
      </c>
      <c r="L55" s="25">
        <v>129</v>
      </c>
      <c r="M55" s="25">
        <v>129</v>
      </c>
      <c r="N55" s="26">
        <v>500</v>
      </c>
      <c r="O55" s="1">
        <v>-24</v>
      </c>
    </row>
    <row r="56" spans="2:15" x14ac:dyDescent="0.3">
      <c r="B56">
        <v>51</v>
      </c>
      <c r="D56" s="18">
        <v>260</v>
      </c>
      <c r="E56" s="23">
        <v>259</v>
      </c>
      <c r="F56" s="23">
        <v>259</v>
      </c>
      <c r="G56" s="23">
        <v>258</v>
      </c>
      <c r="H56" s="23">
        <v>258</v>
      </c>
      <c r="I56" s="23">
        <v>257</v>
      </c>
      <c r="J56" s="23">
        <v>257</v>
      </c>
      <c r="K56" s="23">
        <v>256</v>
      </c>
      <c r="L56" s="23">
        <v>256</v>
      </c>
      <c r="M56" s="23">
        <v>255</v>
      </c>
      <c r="N56" s="18"/>
      <c r="O56">
        <v>-25</v>
      </c>
    </row>
    <row r="57" spans="2:15" x14ac:dyDescent="0.3">
      <c r="B57">
        <v>52</v>
      </c>
      <c r="D57" s="18">
        <v>255</v>
      </c>
      <c r="E57" s="23">
        <v>254</v>
      </c>
      <c r="F57" s="23">
        <v>254</v>
      </c>
      <c r="G57" s="23">
        <v>253</v>
      </c>
      <c r="H57" s="23">
        <v>253</v>
      </c>
      <c r="I57" s="23">
        <v>252</v>
      </c>
      <c r="J57" s="23">
        <v>252</v>
      </c>
      <c r="K57" s="23">
        <v>251</v>
      </c>
      <c r="L57" s="23">
        <v>251</v>
      </c>
      <c r="M57" s="23">
        <v>250</v>
      </c>
      <c r="N57" s="18"/>
    </row>
    <row r="58" spans="2:15" x14ac:dyDescent="0.3">
      <c r="B58">
        <v>53</v>
      </c>
      <c r="D58" s="18">
        <v>250</v>
      </c>
      <c r="E58" s="23">
        <v>249</v>
      </c>
      <c r="F58" s="23">
        <v>249</v>
      </c>
      <c r="G58" s="23">
        <v>248</v>
      </c>
      <c r="H58" s="23">
        <v>248</v>
      </c>
      <c r="I58" s="23">
        <v>247</v>
      </c>
      <c r="J58" s="23">
        <v>247</v>
      </c>
      <c r="K58" s="23">
        <v>246</v>
      </c>
      <c r="L58" s="23">
        <v>246</v>
      </c>
      <c r="M58" s="23">
        <v>245</v>
      </c>
      <c r="N58" s="18"/>
    </row>
    <row r="59" spans="2:15" x14ac:dyDescent="0.3">
      <c r="B59">
        <v>54</v>
      </c>
      <c r="D59" s="18">
        <v>245</v>
      </c>
      <c r="E59" s="23">
        <v>244</v>
      </c>
      <c r="F59" s="23">
        <v>244</v>
      </c>
      <c r="G59" s="23">
        <v>243</v>
      </c>
      <c r="H59" s="23">
        <v>243</v>
      </c>
      <c r="I59" s="23">
        <v>243</v>
      </c>
      <c r="J59" s="23">
        <v>242</v>
      </c>
      <c r="K59" s="23">
        <v>242</v>
      </c>
      <c r="L59" s="23">
        <v>241</v>
      </c>
      <c r="M59" s="23">
        <v>241</v>
      </c>
      <c r="N59" s="18"/>
    </row>
    <row r="60" spans="2:15" x14ac:dyDescent="0.3">
      <c r="B60">
        <v>55</v>
      </c>
      <c r="D60" s="18">
        <v>241</v>
      </c>
      <c r="E60" s="23">
        <v>240</v>
      </c>
      <c r="F60" s="23">
        <v>240</v>
      </c>
      <c r="G60" s="23">
        <v>239</v>
      </c>
      <c r="H60" s="23">
        <v>239</v>
      </c>
      <c r="I60" s="23">
        <v>238</v>
      </c>
      <c r="J60" s="23">
        <v>238</v>
      </c>
      <c r="K60" s="23">
        <v>237</v>
      </c>
      <c r="L60" s="23">
        <v>237</v>
      </c>
      <c r="M60" s="23">
        <v>236</v>
      </c>
      <c r="N60" s="18"/>
      <c r="O60">
        <v>-27</v>
      </c>
    </row>
    <row r="61" spans="2:15" x14ac:dyDescent="0.3">
      <c r="B61">
        <v>56</v>
      </c>
      <c r="D61" s="18">
        <v>236</v>
      </c>
      <c r="E61" s="23">
        <v>235</v>
      </c>
      <c r="F61" s="23">
        <v>235</v>
      </c>
      <c r="G61" s="23">
        <v>234</v>
      </c>
      <c r="H61" s="23">
        <v>234</v>
      </c>
      <c r="I61" s="23">
        <v>234</v>
      </c>
      <c r="J61" s="23">
        <v>233</v>
      </c>
      <c r="K61" s="23">
        <v>233</v>
      </c>
      <c r="L61" s="23">
        <v>232</v>
      </c>
      <c r="M61" s="23">
        <v>232</v>
      </c>
      <c r="N61" s="18">
        <v>560</v>
      </c>
    </row>
    <row r="62" spans="2:15" x14ac:dyDescent="0.3">
      <c r="B62">
        <v>57</v>
      </c>
      <c r="D62" s="18">
        <v>232</v>
      </c>
      <c r="E62" s="23">
        <v>231</v>
      </c>
      <c r="F62" s="23">
        <v>231</v>
      </c>
      <c r="G62" s="23">
        <v>230</v>
      </c>
      <c r="H62" s="23">
        <v>230</v>
      </c>
      <c r="I62" s="23">
        <v>230</v>
      </c>
      <c r="J62" s="23">
        <v>229</v>
      </c>
      <c r="K62" s="23">
        <v>229</v>
      </c>
      <c r="L62" s="23">
        <v>228</v>
      </c>
      <c r="M62" s="23">
        <v>228</v>
      </c>
      <c r="N62" s="18">
        <v>570</v>
      </c>
    </row>
    <row r="63" spans="2:15" x14ac:dyDescent="0.3">
      <c r="B63">
        <v>58</v>
      </c>
      <c r="D63" s="18">
        <v>228</v>
      </c>
      <c r="E63" s="23">
        <v>227</v>
      </c>
      <c r="F63" s="23">
        <v>227</v>
      </c>
      <c r="G63" s="23">
        <v>226</v>
      </c>
      <c r="H63" s="23">
        <v>226</v>
      </c>
      <c r="I63" s="23">
        <v>226</v>
      </c>
      <c r="J63" s="23">
        <v>225</v>
      </c>
      <c r="K63" s="23">
        <v>225</v>
      </c>
      <c r="L63" s="23">
        <v>224</v>
      </c>
      <c r="M63" s="23">
        <v>224</v>
      </c>
      <c r="N63" s="18">
        <v>580</v>
      </c>
    </row>
    <row r="64" spans="2:15" x14ac:dyDescent="0.3">
      <c r="B64">
        <v>59</v>
      </c>
      <c r="D64" s="18">
        <v>224</v>
      </c>
      <c r="E64" s="23">
        <v>223</v>
      </c>
      <c r="F64" s="23">
        <v>223</v>
      </c>
      <c r="G64" s="23">
        <v>222</v>
      </c>
      <c r="H64" s="23">
        <v>222</v>
      </c>
      <c r="I64" s="23">
        <v>222</v>
      </c>
      <c r="J64" s="23">
        <v>221</v>
      </c>
      <c r="K64" s="23">
        <v>221</v>
      </c>
      <c r="L64" s="23">
        <v>220</v>
      </c>
      <c r="M64" s="23">
        <v>220</v>
      </c>
      <c r="N64" s="18">
        <v>590</v>
      </c>
    </row>
    <row r="65" spans="2:15" x14ac:dyDescent="0.3">
      <c r="B65">
        <v>60</v>
      </c>
      <c r="D65" s="18">
        <v>220</v>
      </c>
      <c r="E65" s="23">
        <v>219</v>
      </c>
      <c r="F65" s="23">
        <v>219</v>
      </c>
      <c r="G65" s="23">
        <v>218</v>
      </c>
      <c r="H65" s="23">
        <v>218</v>
      </c>
      <c r="I65" s="23">
        <v>218</v>
      </c>
      <c r="J65" s="23">
        <v>217</v>
      </c>
      <c r="K65" s="23">
        <v>217</v>
      </c>
      <c r="L65" s="23">
        <v>216</v>
      </c>
      <c r="M65" s="19">
        <v>216</v>
      </c>
      <c r="N65" s="18">
        <v>600</v>
      </c>
      <c r="O65">
        <v>-27</v>
      </c>
    </row>
    <row r="66" spans="2:15" x14ac:dyDescent="0.3">
      <c r="B66">
        <v>61</v>
      </c>
      <c r="D66" s="18">
        <v>216</v>
      </c>
      <c r="E66" s="23">
        <v>215</v>
      </c>
      <c r="F66" s="23">
        <v>215</v>
      </c>
      <c r="G66" s="23">
        <v>215</v>
      </c>
      <c r="H66" s="23">
        <v>215</v>
      </c>
      <c r="I66" s="23">
        <v>214</v>
      </c>
      <c r="J66" s="23">
        <v>214</v>
      </c>
      <c r="K66" s="23">
        <v>214</v>
      </c>
      <c r="L66" s="23">
        <v>213</v>
      </c>
      <c r="M66" s="23">
        <v>213</v>
      </c>
      <c r="N66" s="18"/>
    </row>
    <row r="67" spans="2:15" x14ac:dyDescent="0.3">
      <c r="B67">
        <v>62</v>
      </c>
      <c r="D67" s="18">
        <v>213</v>
      </c>
      <c r="E67" s="23">
        <v>212</v>
      </c>
      <c r="F67" s="23">
        <v>212</v>
      </c>
      <c r="G67" s="23">
        <v>211</v>
      </c>
      <c r="H67" s="23">
        <v>211</v>
      </c>
      <c r="I67" s="23">
        <v>211</v>
      </c>
      <c r="J67" s="23">
        <v>210</v>
      </c>
      <c r="K67" s="23">
        <v>210</v>
      </c>
      <c r="L67" s="23">
        <v>209</v>
      </c>
      <c r="M67" s="23">
        <v>209</v>
      </c>
      <c r="N67" s="18"/>
    </row>
    <row r="68" spans="2:15" x14ac:dyDescent="0.3">
      <c r="B68">
        <v>63</v>
      </c>
      <c r="D68" s="18">
        <v>209</v>
      </c>
      <c r="E68" s="23">
        <v>208</v>
      </c>
      <c r="F68" s="23">
        <v>208</v>
      </c>
      <c r="G68" s="23">
        <v>208</v>
      </c>
      <c r="H68" s="23">
        <v>208</v>
      </c>
      <c r="I68" s="23">
        <v>207</v>
      </c>
      <c r="J68" s="23">
        <v>207</v>
      </c>
      <c r="K68" s="23">
        <v>207</v>
      </c>
      <c r="L68" s="23">
        <v>206</v>
      </c>
      <c r="M68" s="23">
        <v>206</v>
      </c>
      <c r="N68" s="18"/>
    </row>
    <row r="69" spans="2:15" x14ac:dyDescent="0.3">
      <c r="B69">
        <v>64</v>
      </c>
      <c r="D69" s="18">
        <v>206</v>
      </c>
      <c r="E69" s="23">
        <v>205</v>
      </c>
      <c r="F69" s="23">
        <v>205</v>
      </c>
      <c r="G69" s="23">
        <v>205</v>
      </c>
      <c r="H69" s="23">
        <v>205</v>
      </c>
      <c r="I69" s="23">
        <v>204</v>
      </c>
      <c r="J69" s="23">
        <v>204</v>
      </c>
      <c r="K69" s="23">
        <v>204</v>
      </c>
      <c r="L69" s="23">
        <v>203</v>
      </c>
      <c r="M69" s="23">
        <v>203</v>
      </c>
      <c r="N69" s="18"/>
    </row>
    <row r="70" spans="2:15" x14ac:dyDescent="0.3">
      <c r="B70">
        <v>65</v>
      </c>
      <c r="D70" s="18">
        <v>203</v>
      </c>
      <c r="E70" s="23">
        <v>202</v>
      </c>
      <c r="F70" s="23">
        <v>202</v>
      </c>
      <c r="G70" s="23">
        <v>202</v>
      </c>
      <c r="H70" s="23">
        <v>202</v>
      </c>
      <c r="I70" s="23">
        <v>201</v>
      </c>
      <c r="J70" s="23">
        <v>201</v>
      </c>
      <c r="K70" s="23">
        <v>201</v>
      </c>
      <c r="L70" s="23">
        <v>200</v>
      </c>
      <c r="M70" s="23">
        <v>200</v>
      </c>
      <c r="N70" s="18"/>
    </row>
    <row r="71" spans="2:15" x14ac:dyDescent="0.3">
      <c r="B71">
        <v>66</v>
      </c>
      <c r="D71" s="18">
        <v>200</v>
      </c>
      <c r="E71" s="23">
        <v>199</v>
      </c>
      <c r="F71" s="23">
        <v>199</v>
      </c>
      <c r="G71" s="23">
        <v>199</v>
      </c>
      <c r="H71" s="23">
        <v>199</v>
      </c>
      <c r="I71" s="23">
        <v>198</v>
      </c>
      <c r="J71" s="23">
        <v>198</v>
      </c>
      <c r="K71" s="23">
        <v>198</v>
      </c>
      <c r="L71" s="23">
        <v>197</v>
      </c>
      <c r="M71" s="23">
        <v>197</v>
      </c>
      <c r="N71" s="18"/>
    </row>
    <row r="72" spans="2:15" x14ac:dyDescent="0.3">
      <c r="B72">
        <v>67</v>
      </c>
      <c r="D72" s="18">
        <v>197</v>
      </c>
      <c r="E72" s="23">
        <v>196</v>
      </c>
      <c r="F72" s="23">
        <v>196</v>
      </c>
      <c r="G72" s="23">
        <v>196</v>
      </c>
      <c r="H72" s="23">
        <v>196</v>
      </c>
      <c r="I72" s="23">
        <v>195</v>
      </c>
      <c r="J72" s="23">
        <v>195</v>
      </c>
      <c r="K72" s="23">
        <v>195</v>
      </c>
      <c r="L72" s="23">
        <v>194</v>
      </c>
      <c r="M72" s="23">
        <v>194</v>
      </c>
      <c r="N72" s="18"/>
    </row>
    <row r="73" spans="2:15" x14ac:dyDescent="0.3">
      <c r="B73">
        <v>68</v>
      </c>
      <c r="D73" s="18">
        <v>194</v>
      </c>
      <c r="E73" s="23">
        <v>193</v>
      </c>
      <c r="F73" s="23">
        <v>193</v>
      </c>
      <c r="G73" s="23">
        <v>193</v>
      </c>
      <c r="H73" s="23">
        <v>193</v>
      </c>
      <c r="I73" s="23">
        <v>192</v>
      </c>
      <c r="J73" s="23">
        <v>192</v>
      </c>
      <c r="K73" s="23">
        <v>192</v>
      </c>
      <c r="L73" s="23">
        <v>191</v>
      </c>
      <c r="M73" s="23">
        <v>191</v>
      </c>
      <c r="N73" s="18"/>
    </row>
    <row r="74" spans="2:15" x14ac:dyDescent="0.3">
      <c r="B74">
        <v>69</v>
      </c>
      <c r="D74" s="18">
        <v>191</v>
      </c>
      <c r="E74" s="23">
        <v>190</v>
      </c>
      <c r="F74" s="23">
        <v>190</v>
      </c>
      <c r="G74" s="23">
        <v>190</v>
      </c>
      <c r="H74" s="23">
        <v>190</v>
      </c>
      <c r="I74" s="23">
        <v>189</v>
      </c>
      <c r="J74" s="23">
        <v>189</v>
      </c>
      <c r="K74" s="23">
        <v>189</v>
      </c>
      <c r="L74" s="23">
        <v>188</v>
      </c>
      <c r="M74" s="23">
        <v>188</v>
      </c>
      <c r="N74" s="18"/>
    </row>
    <row r="75" spans="2:15" x14ac:dyDescent="0.3">
      <c r="B75">
        <v>70</v>
      </c>
      <c r="D75" s="18">
        <v>188</v>
      </c>
      <c r="E75" s="23">
        <v>187</v>
      </c>
      <c r="F75" s="23">
        <v>187</v>
      </c>
      <c r="G75" s="23">
        <v>187</v>
      </c>
      <c r="H75" s="23">
        <v>187</v>
      </c>
      <c r="I75" s="23">
        <v>186</v>
      </c>
      <c r="J75" s="23">
        <v>186</v>
      </c>
      <c r="K75" s="23">
        <v>186</v>
      </c>
      <c r="L75" s="23">
        <v>185</v>
      </c>
      <c r="M75" s="19">
        <v>185</v>
      </c>
      <c r="N75" s="18">
        <v>700</v>
      </c>
      <c r="O75">
        <v>-31</v>
      </c>
    </row>
    <row r="76" spans="2:15" x14ac:dyDescent="0.3">
      <c r="B76">
        <v>71</v>
      </c>
      <c r="D76" s="18">
        <v>185</v>
      </c>
      <c r="E76" s="23">
        <v>185</v>
      </c>
      <c r="F76" s="23">
        <v>184</v>
      </c>
      <c r="G76" s="23">
        <v>184</v>
      </c>
      <c r="H76" s="23">
        <v>184</v>
      </c>
      <c r="I76" s="23">
        <v>184</v>
      </c>
      <c r="J76" s="23">
        <v>184</v>
      </c>
      <c r="K76" s="23">
        <v>184</v>
      </c>
      <c r="L76" s="23">
        <v>183</v>
      </c>
      <c r="M76" s="23">
        <v>183</v>
      </c>
      <c r="N76" s="18"/>
    </row>
    <row r="77" spans="2:15" x14ac:dyDescent="0.3">
      <c r="B77">
        <v>72</v>
      </c>
      <c r="D77" s="18">
        <v>183</v>
      </c>
      <c r="E77" s="23">
        <v>182</v>
      </c>
      <c r="F77" s="23">
        <v>182</v>
      </c>
      <c r="G77" s="23">
        <v>182</v>
      </c>
      <c r="H77" s="23">
        <v>182</v>
      </c>
      <c r="I77" s="23">
        <v>181</v>
      </c>
      <c r="J77" s="23">
        <v>181</v>
      </c>
      <c r="K77" s="23">
        <v>181</v>
      </c>
      <c r="L77" s="23">
        <v>180</v>
      </c>
      <c r="M77" s="23">
        <v>180</v>
      </c>
      <c r="N77" s="18"/>
    </row>
    <row r="78" spans="2:15" x14ac:dyDescent="0.3">
      <c r="B78">
        <v>73</v>
      </c>
      <c r="D78" s="18">
        <v>180</v>
      </c>
      <c r="E78" s="23">
        <v>180</v>
      </c>
      <c r="F78" s="23">
        <v>179</v>
      </c>
      <c r="G78" s="23">
        <v>179</v>
      </c>
      <c r="H78" s="23">
        <v>179</v>
      </c>
      <c r="I78" s="23">
        <v>179</v>
      </c>
      <c r="J78" s="23">
        <v>179</v>
      </c>
      <c r="K78" s="23">
        <v>178</v>
      </c>
      <c r="L78" s="23">
        <v>178</v>
      </c>
      <c r="M78" s="23">
        <v>178</v>
      </c>
      <c r="N78" s="18"/>
    </row>
    <row r="79" spans="2:15" x14ac:dyDescent="0.3">
      <c r="B79">
        <v>74</v>
      </c>
      <c r="D79" s="18">
        <v>178</v>
      </c>
      <c r="E79" s="23">
        <v>177</v>
      </c>
      <c r="F79" s="23">
        <v>177</v>
      </c>
      <c r="G79" s="23">
        <v>177</v>
      </c>
      <c r="H79" s="23">
        <v>177</v>
      </c>
      <c r="I79" s="23">
        <v>176</v>
      </c>
      <c r="J79" s="23">
        <v>176</v>
      </c>
      <c r="K79" s="23">
        <v>176</v>
      </c>
      <c r="L79" s="23">
        <v>175</v>
      </c>
      <c r="M79" s="23">
        <v>175</v>
      </c>
      <c r="N79" s="18"/>
    </row>
    <row r="80" spans="2:15" x14ac:dyDescent="0.3">
      <c r="B80">
        <v>75</v>
      </c>
      <c r="D80" s="18">
        <v>175</v>
      </c>
      <c r="E80" s="23">
        <v>175</v>
      </c>
      <c r="F80" s="23">
        <v>174</v>
      </c>
      <c r="G80" s="23">
        <v>174</v>
      </c>
      <c r="H80" s="23">
        <v>174</v>
      </c>
      <c r="I80" s="23">
        <v>174</v>
      </c>
      <c r="J80" s="23">
        <v>174</v>
      </c>
      <c r="K80" s="23">
        <v>173</v>
      </c>
      <c r="L80" s="23">
        <v>173</v>
      </c>
      <c r="M80" s="23">
        <v>173</v>
      </c>
      <c r="N80" s="18"/>
    </row>
    <row r="81" spans="2:15" x14ac:dyDescent="0.3">
      <c r="B81">
        <v>76</v>
      </c>
      <c r="D81" s="18">
        <v>173</v>
      </c>
      <c r="E81" s="23">
        <v>173</v>
      </c>
      <c r="F81" s="23">
        <v>172</v>
      </c>
      <c r="G81" s="23">
        <v>172</v>
      </c>
      <c r="H81" s="23">
        <v>172</v>
      </c>
      <c r="I81" s="23">
        <v>172</v>
      </c>
      <c r="J81" s="23">
        <v>172</v>
      </c>
      <c r="K81" s="23">
        <v>171</v>
      </c>
      <c r="L81" s="23">
        <v>171</v>
      </c>
      <c r="M81" s="23">
        <v>171</v>
      </c>
      <c r="N81" s="18"/>
    </row>
    <row r="82" spans="2:15" x14ac:dyDescent="0.3">
      <c r="B82">
        <v>77</v>
      </c>
      <c r="D82" s="18">
        <v>171</v>
      </c>
      <c r="E82" s="23">
        <v>170</v>
      </c>
      <c r="F82" s="23">
        <v>170</v>
      </c>
      <c r="G82" s="23">
        <v>170</v>
      </c>
      <c r="H82" s="23">
        <v>170</v>
      </c>
      <c r="I82" s="23">
        <v>169</v>
      </c>
      <c r="J82" s="23">
        <v>169</v>
      </c>
      <c r="K82" s="23">
        <v>169</v>
      </c>
      <c r="L82" s="23">
        <v>168</v>
      </c>
      <c r="M82" s="23">
        <v>168</v>
      </c>
      <c r="N82" s="18"/>
    </row>
    <row r="83" spans="2:15" x14ac:dyDescent="0.3">
      <c r="B83">
        <v>78</v>
      </c>
      <c r="D83" s="18">
        <v>168</v>
      </c>
      <c r="E83" s="23">
        <v>168</v>
      </c>
      <c r="F83" s="23">
        <v>167</v>
      </c>
      <c r="G83" s="23">
        <v>167</v>
      </c>
      <c r="H83" s="23">
        <v>167</v>
      </c>
      <c r="I83" s="23">
        <v>167</v>
      </c>
      <c r="J83" s="23">
        <v>167</v>
      </c>
      <c r="K83" s="23">
        <v>166</v>
      </c>
      <c r="L83" s="23">
        <v>166</v>
      </c>
      <c r="M83" s="23">
        <v>166</v>
      </c>
      <c r="N83" s="18"/>
    </row>
    <row r="84" spans="2:15" x14ac:dyDescent="0.3">
      <c r="B84">
        <v>79</v>
      </c>
      <c r="D84" s="18">
        <v>166</v>
      </c>
      <c r="E84" s="23">
        <v>166</v>
      </c>
      <c r="F84" s="23">
        <v>165</v>
      </c>
      <c r="G84" s="23">
        <v>165</v>
      </c>
      <c r="H84" s="23">
        <v>165</v>
      </c>
      <c r="I84" s="23">
        <v>165</v>
      </c>
      <c r="J84" s="23">
        <v>165</v>
      </c>
      <c r="K84" s="23">
        <v>164</v>
      </c>
      <c r="L84" s="23">
        <v>164</v>
      </c>
      <c r="M84" s="23">
        <v>164</v>
      </c>
      <c r="N84" s="18"/>
    </row>
    <row r="85" spans="2:15" x14ac:dyDescent="0.3">
      <c r="B85">
        <v>80</v>
      </c>
      <c r="D85" s="18">
        <v>164</v>
      </c>
      <c r="E85" s="23">
        <v>164</v>
      </c>
      <c r="F85" s="23">
        <v>163</v>
      </c>
      <c r="G85" s="23">
        <v>163</v>
      </c>
      <c r="H85" s="23">
        <v>163</v>
      </c>
      <c r="I85" s="23">
        <v>163</v>
      </c>
      <c r="J85" s="23">
        <v>163</v>
      </c>
      <c r="K85" s="23">
        <v>162</v>
      </c>
      <c r="L85" s="23">
        <v>162</v>
      </c>
      <c r="M85" s="19">
        <v>162</v>
      </c>
      <c r="N85" s="18">
        <v>800</v>
      </c>
      <c r="O85">
        <v>-38</v>
      </c>
    </row>
    <row r="86" spans="2:15" x14ac:dyDescent="0.3">
      <c r="B86">
        <v>81</v>
      </c>
      <c r="D86" s="18">
        <v>162</v>
      </c>
      <c r="E86" s="23">
        <v>162</v>
      </c>
      <c r="F86" s="23">
        <v>161</v>
      </c>
      <c r="G86" s="23">
        <v>161</v>
      </c>
      <c r="H86" s="23">
        <v>161</v>
      </c>
      <c r="I86" s="23">
        <v>161</v>
      </c>
      <c r="J86" s="23">
        <v>161</v>
      </c>
      <c r="K86" s="23">
        <v>160</v>
      </c>
      <c r="L86" s="23">
        <v>160</v>
      </c>
      <c r="M86" s="23">
        <v>160</v>
      </c>
      <c r="N86" s="18"/>
    </row>
    <row r="87" spans="2:15" x14ac:dyDescent="0.3">
      <c r="B87">
        <v>82</v>
      </c>
      <c r="D87" s="18">
        <v>160</v>
      </c>
      <c r="E87" s="23">
        <v>160</v>
      </c>
      <c r="F87" s="23">
        <v>159</v>
      </c>
      <c r="G87" s="23">
        <v>159</v>
      </c>
      <c r="H87" s="23">
        <v>159</v>
      </c>
      <c r="I87" s="23">
        <v>159</v>
      </c>
      <c r="J87" s="23">
        <v>159</v>
      </c>
      <c r="K87" s="23">
        <v>158</v>
      </c>
      <c r="L87" s="23">
        <v>158</v>
      </c>
      <c r="M87" s="23">
        <v>158</v>
      </c>
      <c r="N87" s="18"/>
    </row>
    <row r="88" spans="2:15" x14ac:dyDescent="0.3">
      <c r="B88">
        <v>83</v>
      </c>
      <c r="D88" s="18">
        <v>158</v>
      </c>
      <c r="E88" s="23">
        <v>158</v>
      </c>
      <c r="F88" s="23">
        <v>157</v>
      </c>
      <c r="G88" s="23">
        <v>157</v>
      </c>
      <c r="H88" s="23">
        <v>157</v>
      </c>
      <c r="I88" s="23">
        <v>157</v>
      </c>
      <c r="J88" s="23">
        <v>157</v>
      </c>
      <c r="K88" s="23">
        <v>156</v>
      </c>
      <c r="L88" s="23">
        <v>156</v>
      </c>
      <c r="M88" s="23">
        <v>156</v>
      </c>
      <c r="N88" s="18"/>
    </row>
    <row r="89" spans="2:15" x14ac:dyDescent="0.3">
      <c r="B89">
        <v>84</v>
      </c>
      <c r="D89" s="18">
        <v>156</v>
      </c>
      <c r="E89" s="23">
        <v>156</v>
      </c>
      <c r="F89" s="23">
        <v>155</v>
      </c>
      <c r="G89" s="23">
        <v>155</v>
      </c>
      <c r="H89" s="23">
        <v>155</v>
      </c>
      <c r="I89" s="23">
        <v>155</v>
      </c>
      <c r="J89" s="23">
        <v>155</v>
      </c>
      <c r="K89" s="23">
        <v>154</v>
      </c>
      <c r="L89" s="23">
        <v>154</v>
      </c>
      <c r="M89" s="23">
        <v>154</v>
      </c>
      <c r="N89" s="18"/>
    </row>
    <row r="90" spans="2:15" x14ac:dyDescent="0.3">
      <c r="B90">
        <v>85</v>
      </c>
      <c r="D90" s="18">
        <v>154</v>
      </c>
      <c r="E90" s="23">
        <v>154</v>
      </c>
      <c r="F90" s="23">
        <v>153</v>
      </c>
      <c r="G90" s="23">
        <v>153</v>
      </c>
      <c r="H90" s="23">
        <v>153</v>
      </c>
      <c r="I90" s="23">
        <v>153</v>
      </c>
      <c r="J90" s="23">
        <v>153</v>
      </c>
      <c r="K90" s="23">
        <v>152</v>
      </c>
      <c r="L90" s="23">
        <v>152</v>
      </c>
      <c r="M90" s="23">
        <v>152</v>
      </c>
      <c r="N90" s="18"/>
    </row>
    <row r="91" spans="2:15" x14ac:dyDescent="0.3">
      <c r="B91">
        <v>86</v>
      </c>
      <c r="D91" s="18">
        <v>152</v>
      </c>
      <c r="E91" s="23">
        <v>152</v>
      </c>
      <c r="F91" s="23">
        <v>152</v>
      </c>
      <c r="G91" s="23">
        <v>152</v>
      </c>
      <c r="H91" s="23">
        <v>152</v>
      </c>
      <c r="I91" s="23">
        <v>151</v>
      </c>
      <c r="J91" s="23">
        <v>151</v>
      </c>
      <c r="K91" s="23">
        <v>151</v>
      </c>
      <c r="L91" s="23">
        <v>151</v>
      </c>
      <c r="M91" s="23">
        <v>151</v>
      </c>
      <c r="N91" s="18"/>
    </row>
    <row r="92" spans="2:15" x14ac:dyDescent="0.3">
      <c r="B92">
        <v>87</v>
      </c>
      <c r="D92" s="18">
        <v>150</v>
      </c>
      <c r="E92" s="23">
        <v>150</v>
      </c>
      <c r="F92" s="23">
        <v>150</v>
      </c>
      <c r="G92" s="23">
        <v>150</v>
      </c>
      <c r="H92" s="23">
        <v>150</v>
      </c>
      <c r="I92" s="23">
        <v>149</v>
      </c>
      <c r="J92" s="23">
        <v>149</v>
      </c>
      <c r="K92" s="23">
        <v>149</v>
      </c>
      <c r="L92" s="23">
        <v>149</v>
      </c>
      <c r="M92" s="23">
        <v>149</v>
      </c>
      <c r="N92" s="18"/>
    </row>
    <row r="93" spans="2:15" x14ac:dyDescent="0.3">
      <c r="B93">
        <v>88</v>
      </c>
      <c r="D93" s="18">
        <v>148</v>
      </c>
      <c r="E93" s="23">
        <v>148</v>
      </c>
      <c r="F93" s="23">
        <v>148</v>
      </c>
      <c r="G93" s="23">
        <v>148</v>
      </c>
      <c r="H93" s="23">
        <v>148</v>
      </c>
      <c r="I93" s="23">
        <v>148</v>
      </c>
      <c r="J93" s="23">
        <v>147</v>
      </c>
      <c r="K93" s="23">
        <v>147</v>
      </c>
      <c r="L93" s="23">
        <v>147</v>
      </c>
      <c r="M93" s="23">
        <v>147</v>
      </c>
      <c r="N93" s="18"/>
    </row>
    <row r="94" spans="2:15" x14ac:dyDescent="0.3">
      <c r="B94">
        <v>89</v>
      </c>
      <c r="D94" s="18">
        <v>147</v>
      </c>
      <c r="E94" s="23">
        <v>147</v>
      </c>
      <c r="F94" s="23">
        <v>146</v>
      </c>
      <c r="G94" s="23">
        <v>146</v>
      </c>
      <c r="H94" s="23">
        <v>146</v>
      </c>
      <c r="I94" s="23">
        <v>146</v>
      </c>
      <c r="J94" s="23">
        <v>146</v>
      </c>
      <c r="K94" s="23">
        <v>145</v>
      </c>
      <c r="L94" s="23">
        <v>145</v>
      </c>
      <c r="M94" s="23">
        <v>145</v>
      </c>
      <c r="N94" s="18"/>
    </row>
    <row r="95" spans="2:15" x14ac:dyDescent="0.3">
      <c r="B95">
        <v>90</v>
      </c>
      <c r="D95" s="18">
        <v>145</v>
      </c>
      <c r="E95" s="23">
        <v>145</v>
      </c>
      <c r="F95" s="23">
        <v>145</v>
      </c>
      <c r="G95" s="23">
        <v>145</v>
      </c>
      <c r="H95" s="23">
        <v>145</v>
      </c>
      <c r="I95" s="23">
        <v>145</v>
      </c>
      <c r="J95" s="23">
        <v>144</v>
      </c>
      <c r="K95" s="23">
        <v>144</v>
      </c>
      <c r="L95" s="23">
        <v>144</v>
      </c>
      <c r="M95" s="19">
        <v>144</v>
      </c>
      <c r="N95" s="18">
        <v>900</v>
      </c>
      <c r="O95">
        <v>-41</v>
      </c>
    </row>
    <row r="96" spans="2:15" x14ac:dyDescent="0.3">
      <c r="B96">
        <v>91</v>
      </c>
      <c r="D96" s="18">
        <v>144</v>
      </c>
      <c r="E96" s="23">
        <v>144</v>
      </c>
      <c r="F96" s="23">
        <v>143</v>
      </c>
      <c r="G96" s="23">
        <v>143</v>
      </c>
      <c r="H96" s="23">
        <v>143</v>
      </c>
      <c r="I96" s="23">
        <v>143</v>
      </c>
      <c r="J96" s="23">
        <v>143</v>
      </c>
      <c r="K96" s="23">
        <v>142</v>
      </c>
      <c r="L96" s="23">
        <v>142</v>
      </c>
      <c r="M96" s="23">
        <v>142</v>
      </c>
      <c r="N96" s="18"/>
    </row>
    <row r="97" spans="2:15" x14ac:dyDescent="0.3">
      <c r="B97">
        <v>92</v>
      </c>
      <c r="D97" s="18">
        <v>142</v>
      </c>
      <c r="E97" s="23">
        <v>142</v>
      </c>
      <c r="F97" s="23">
        <v>142</v>
      </c>
      <c r="G97" s="23">
        <v>142</v>
      </c>
      <c r="H97" s="23">
        <v>141</v>
      </c>
      <c r="I97" s="23">
        <v>141</v>
      </c>
      <c r="J97" s="23">
        <v>141</v>
      </c>
      <c r="K97" s="23">
        <v>141</v>
      </c>
      <c r="L97" s="23">
        <v>141</v>
      </c>
      <c r="M97" s="23">
        <v>141</v>
      </c>
      <c r="N97" s="18"/>
    </row>
    <row r="98" spans="2:15" x14ac:dyDescent="0.3">
      <c r="B98">
        <v>93</v>
      </c>
      <c r="D98" s="18">
        <v>140</v>
      </c>
      <c r="E98" s="23">
        <v>140</v>
      </c>
      <c r="F98" s="23">
        <v>140</v>
      </c>
      <c r="G98" s="23">
        <v>140</v>
      </c>
      <c r="H98" s="23">
        <v>140</v>
      </c>
      <c r="I98" s="23">
        <v>140</v>
      </c>
      <c r="J98" s="23">
        <v>139</v>
      </c>
      <c r="K98" s="23">
        <v>139</v>
      </c>
      <c r="L98" s="23">
        <v>139</v>
      </c>
      <c r="M98" s="23">
        <v>139</v>
      </c>
      <c r="N98" s="18"/>
    </row>
    <row r="99" spans="2:15" x14ac:dyDescent="0.3">
      <c r="B99">
        <v>94</v>
      </c>
      <c r="D99" s="18">
        <v>139</v>
      </c>
      <c r="E99" s="23">
        <v>139</v>
      </c>
      <c r="F99" s="23">
        <v>138</v>
      </c>
      <c r="G99" s="23">
        <v>138</v>
      </c>
      <c r="H99" s="23">
        <v>138</v>
      </c>
      <c r="I99" s="23">
        <v>138</v>
      </c>
      <c r="J99" s="23">
        <v>138</v>
      </c>
      <c r="K99" s="23">
        <v>138</v>
      </c>
      <c r="L99" s="23">
        <v>138</v>
      </c>
      <c r="M99" s="23">
        <v>138</v>
      </c>
      <c r="N99" s="18"/>
    </row>
    <row r="100" spans="2:15" x14ac:dyDescent="0.3">
      <c r="B100">
        <v>95</v>
      </c>
      <c r="D100" s="18">
        <v>137</v>
      </c>
      <c r="E100" s="23">
        <v>137</v>
      </c>
      <c r="F100" s="23">
        <v>137</v>
      </c>
      <c r="G100" s="23">
        <v>137</v>
      </c>
      <c r="H100" s="23">
        <v>137</v>
      </c>
      <c r="I100" s="23">
        <v>137</v>
      </c>
      <c r="J100" s="23">
        <v>137</v>
      </c>
      <c r="K100" s="23">
        <v>137</v>
      </c>
      <c r="L100" s="23">
        <v>136</v>
      </c>
      <c r="M100" s="23">
        <v>136</v>
      </c>
      <c r="N100" s="18">
        <v>950</v>
      </c>
    </row>
    <row r="101" spans="2:15" x14ac:dyDescent="0.3">
      <c r="B101">
        <v>96</v>
      </c>
      <c r="D101" s="18">
        <v>136</v>
      </c>
      <c r="E101" s="23">
        <v>136</v>
      </c>
      <c r="F101" s="23">
        <v>136</v>
      </c>
      <c r="G101" s="23">
        <v>136</v>
      </c>
      <c r="H101" s="23">
        <v>136</v>
      </c>
      <c r="I101" s="23">
        <v>135</v>
      </c>
      <c r="J101" s="23">
        <v>135</v>
      </c>
      <c r="K101" s="23">
        <v>135</v>
      </c>
      <c r="L101" s="23">
        <v>135</v>
      </c>
      <c r="M101" s="23">
        <v>135</v>
      </c>
      <c r="N101" s="18"/>
    </row>
    <row r="102" spans="2:15" x14ac:dyDescent="0.3">
      <c r="B102">
        <v>97</v>
      </c>
      <c r="D102" s="18">
        <v>135</v>
      </c>
      <c r="E102" s="23">
        <v>135</v>
      </c>
      <c r="F102" s="23">
        <v>135</v>
      </c>
      <c r="G102" s="23">
        <v>134</v>
      </c>
      <c r="H102" s="23">
        <v>134</v>
      </c>
      <c r="I102" s="23">
        <v>134</v>
      </c>
      <c r="J102" s="23">
        <v>134</v>
      </c>
      <c r="K102" s="23">
        <v>134</v>
      </c>
      <c r="L102" s="23">
        <v>134</v>
      </c>
      <c r="M102" s="23">
        <v>134</v>
      </c>
      <c r="N102" s="18"/>
    </row>
    <row r="103" spans="2:15" x14ac:dyDescent="0.3">
      <c r="B103">
        <v>98</v>
      </c>
      <c r="D103" s="18">
        <v>133</v>
      </c>
      <c r="E103" s="23">
        <v>133</v>
      </c>
      <c r="F103" s="23">
        <v>133</v>
      </c>
      <c r="G103" s="23">
        <v>133</v>
      </c>
      <c r="H103" s="23">
        <v>133</v>
      </c>
      <c r="I103" s="23">
        <v>133</v>
      </c>
      <c r="J103" s="23">
        <v>133</v>
      </c>
      <c r="K103" s="23">
        <v>133</v>
      </c>
      <c r="L103" s="23">
        <v>132</v>
      </c>
      <c r="M103" s="23">
        <v>132</v>
      </c>
      <c r="N103" s="18"/>
    </row>
    <row r="104" spans="2:15" x14ac:dyDescent="0.3">
      <c r="B104">
        <v>99</v>
      </c>
      <c r="D104" s="18">
        <v>132</v>
      </c>
      <c r="E104" s="23">
        <v>132</v>
      </c>
      <c r="F104" s="23">
        <v>132</v>
      </c>
      <c r="G104" s="23">
        <v>132</v>
      </c>
      <c r="H104" s="23">
        <v>132</v>
      </c>
      <c r="I104" s="23">
        <v>132</v>
      </c>
      <c r="J104" s="23">
        <v>131</v>
      </c>
      <c r="K104" s="23">
        <v>131</v>
      </c>
      <c r="L104" s="23">
        <v>131</v>
      </c>
      <c r="M104" s="23">
        <v>131</v>
      </c>
      <c r="N104" s="18"/>
    </row>
    <row r="105" spans="2:15" x14ac:dyDescent="0.3">
      <c r="B105">
        <v>100</v>
      </c>
      <c r="D105" s="20">
        <v>131</v>
      </c>
      <c r="E105" s="21">
        <v>131</v>
      </c>
      <c r="F105" s="21">
        <v>130</v>
      </c>
      <c r="G105" s="21">
        <v>130</v>
      </c>
      <c r="H105" s="21">
        <v>130</v>
      </c>
      <c r="I105" s="21">
        <v>130</v>
      </c>
      <c r="J105" s="21">
        <v>130</v>
      </c>
      <c r="K105" s="21">
        <v>130</v>
      </c>
      <c r="L105" s="21">
        <v>129</v>
      </c>
      <c r="M105" s="22">
        <v>129</v>
      </c>
      <c r="N105" s="18">
        <v>1000</v>
      </c>
      <c r="O105">
        <v>-49</v>
      </c>
    </row>
    <row r="106" spans="2:15" x14ac:dyDescent="0.3">
      <c r="B106">
        <v>101</v>
      </c>
      <c r="D106" s="18">
        <v>129</v>
      </c>
      <c r="E106" s="19">
        <v>64</v>
      </c>
      <c r="F106" s="23">
        <v>42</v>
      </c>
      <c r="G106" s="23">
        <v>31</v>
      </c>
      <c r="H106" s="24">
        <v>25</v>
      </c>
      <c r="I106" s="23">
        <v>42</v>
      </c>
      <c r="J106" s="23">
        <v>36</v>
      </c>
      <c r="K106" s="23">
        <v>32</v>
      </c>
      <c r="L106" s="23">
        <v>28</v>
      </c>
      <c r="M106" s="23">
        <v>25</v>
      </c>
      <c r="N106" s="18">
        <v>10000</v>
      </c>
      <c r="O106" s="23">
        <v>-185</v>
      </c>
    </row>
    <row r="107" spans="2:15" x14ac:dyDescent="0.3">
      <c r="B107">
        <v>102</v>
      </c>
      <c r="D107" s="16">
        <v>46</v>
      </c>
      <c r="E107" s="23">
        <v>43</v>
      </c>
      <c r="F107" s="19">
        <v>39</v>
      </c>
      <c r="G107" s="23">
        <v>36</v>
      </c>
      <c r="H107" s="23">
        <v>34</v>
      </c>
      <c r="I107" s="19">
        <v>32</v>
      </c>
      <c r="J107" s="23">
        <v>30</v>
      </c>
      <c r="K107" s="23">
        <v>29</v>
      </c>
      <c r="L107" s="23">
        <v>27</v>
      </c>
      <c r="M107" s="19">
        <v>25</v>
      </c>
      <c r="N107" s="18">
        <v>20000</v>
      </c>
      <c r="O107">
        <v>-370</v>
      </c>
    </row>
    <row r="108" spans="2:15" x14ac:dyDescent="0.3">
      <c r="B108">
        <v>103</v>
      </c>
      <c r="D108" s="16">
        <v>61</v>
      </c>
      <c r="E108" s="23">
        <v>58</v>
      </c>
      <c r="F108" s="23">
        <v>55</v>
      </c>
      <c r="G108" s="19">
        <v>53</v>
      </c>
      <c r="H108" s="23">
        <v>51</v>
      </c>
      <c r="I108" s="23">
        <v>49</v>
      </c>
      <c r="J108" s="19">
        <v>47</v>
      </c>
      <c r="K108" s="23">
        <v>45</v>
      </c>
      <c r="L108" s="23">
        <v>43</v>
      </c>
      <c r="M108" s="23">
        <v>42</v>
      </c>
      <c r="N108" s="18">
        <v>30000</v>
      </c>
      <c r="O108" s="23">
        <v>-1250</v>
      </c>
    </row>
    <row r="109" spans="2:15" x14ac:dyDescent="0.3">
      <c r="B109">
        <v>104</v>
      </c>
      <c r="D109" s="18">
        <v>41</v>
      </c>
      <c r="E109" s="23">
        <v>40</v>
      </c>
      <c r="F109" s="23">
        <v>39</v>
      </c>
      <c r="G109" s="23">
        <v>38</v>
      </c>
      <c r="H109" s="23">
        <v>37</v>
      </c>
      <c r="I109" s="23">
        <v>36</v>
      </c>
      <c r="J109" s="23">
        <v>35</v>
      </c>
      <c r="K109" s="23">
        <v>34</v>
      </c>
      <c r="L109" s="23">
        <v>33</v>
      </c>
      <c r="M109" s="23">
        <v>32</v>
      </c>
      <c r="N109" s="18"/>
    </row>
    <row r="110" spans="2:15" x14ac:dyDescent="0.3">
      <c r="B110">
        <v>105</v>
      </c>
      <c r="D110" s="18">
        <v>31</v>
      </c>
      <c r="E110" s="23">
        <v>31</v>
      </c>
      <c r="F110" s="23">
        <v>30</v>
      </c>
      <c r="G110" s="23">
        <v>29</v>
      </c>
      <c r="H110" s="23">
        <v>29</v>
      </c>
      <c r="I110" s="23">
        <v>28</v>
      </c>
      <c r="J110" s="23">
        <v>27</v>
      </c>
      <c r="K110" s="23">
        <v>26</v>
      </c>
      <c r="L110" s="23">
        <v>26</v>
      </c>
      <c r="M110" s="23">
        <v>25</v>
      </c>
      <c r="N110" s="18"/>
    </row>
    <row r="111" spans="2:15" x14ac:dyDescent="0.3">
      <c r="B111">
        <v>106</v>
      </c>
      <c r="D111" s="18">
        <v>25</v>
      </c>
      <c r="E111" s="23">
        <v>24</v>
      </c>
      <c r="F111" s="23">
        <v>24</v>
      </c>
      <c r="G111" s="23">
        <v>23</v>
      </c>
      <c r="H111" s="23">
        <v>23</v>
      </c>
      <c r="I111" s="23">
        <v>23</v>
      </c>
      <c r="J111" s="23">
        <v>22</v>
      </c>
      <c r="K111" s="23">
        <v>22</v>
      </c>
      <c r="L111" s="23">
        <v>21</v>
      </c>
      <c r="M111" s="23">
        <v>21</v>
      </c>
      <c r="N111" s="18"/>
    </row>
    <row r="112" spans="2:15" x14ac:dyDescent="0.3">
      <c r="B112">
        <v>107</v>
      </c>
      <c r="D112" s="18">
        <v>21</v>
      </c>
      <c r="E112" s="23">
        <v>20</v>
      </c>
      <c r="F112" s="23">
        <v>20</v>
      </c>
      <c r="G112" s="23">
        <v>20</v>
      </c>
      <c r="H112" s="23">
        <v>20</v>
      </c>
      <c r="I112" s="23">
        <v>19</v>
      </c>
      <c r="J112" s="23">
        <v>19</v>
      </c>
      <c r="K112" s="23">
        <v>19</v>
      </c>
      <c r="L112" s="23">
        <v>18</v>
      </c>
      <c r="M112" s="23">
        <v>18</v>
      </c>
      <c r="N112" s="18"/>
    </row>
    <row r="113" spans="2:15" x14ac:dyDescent="0.3">
      <c r="B113">
        <v>108</v>
      </c>
      <c r="D113" s="18">
        <v>18</v>
      </c>
      <c r="E113" s="23">
        <v>17</v>
      </c>
      <c r="F113" s="23">
        <v>17</v>
      </c>
      <c r="G113" s="23">
        <v>17</v>
      </c>
      <c r="H113" s="23">
        <v>17</v>
      </c>
      <c r="I113" s="23">
        <v>16</v>
      </c>
      <c r="J113" s="23">
        <v>16</v>
      </c>
      <c r="K113" s="23">
        <v>16</v>
      </c>
      <c r="L113" s="23">
        <v>15</v>
      </c>
      <c r="M113" s="23">
        <v>15</v>
      </c>
      <c r="N113" s="18"/>
    </row>
    <row r="114" spans="2:15" x14ac:dyDescent="0.3">
      <c r="B114">
        <v>109</v>
      </c>
      <c r="D114" s="18">
        <v>15</v>
      </c>
      <c r="E114" s="23">
        <v>15</v>
      </c>
      <c r="F114" s="23">
        <v>14</v>
      </c>
      <c r="G114" s="23">
        <v>14</v>
      </c>
      <c r="H114" s="23">
        <v>14</v>
      </c>
      <c r="I114" s="23">
        <v>14</v>
      </c>
      <c r="J114" s="23">
        <v>14</v>
      </c>
      <c r="K114" s="23">
        <v>13</v>
      </c>
      <c r="L114" s="23">
        <v>13</v>
      </c>
      <c r="M114" s="23">
        <v>13</v>
      </c>
      <c r="N114" s="18"/>
    </row>
    <row r="115" spans="2:15" x14ac:dyDescent="0.3">
      <c r="B115">
        <v>110</v>
      </c>
      <c r="D115" s="18">
        <v>13</v>
      </c>
      <c r="E115" s="23">
        <v>13</v>
      </c>
      <c r="F115" s="23">
        <v>13</v>
      </c>
      <c r="G115" s="23">
        <v>13</v>
      </c>
      <c r="H115" s="23">
        <v>12</v>
      </c>
      <c r="I115" s="23">
        <v>12</v>
      </c>
      <c r="J115" s="23">
        <v>12</v>
      </c>
      <c r="K115" s="23">
        <v>12</v>
      </c>
      <c r="L115" s="23">
        <v>12</v>
      </c>
      <c r="M115" s="19">
        <v>12</v>
      </c>
      <c r="N115" s="18">
        <v>100000</v>
      </c>
      <c r="O115">
        <v>1906</v>
      </c>
    </row>
    <row r="116" spans="2:15" x14ac:dyDescent="0.3">
      <c r="B116">
        <v>111</v>
      </c>
      <c r="D116" s="18">
        <v>25</v>
      </c>
      <c r="E116" s="19">
        <v>25</v>
      </c>
      <c r="F116" s="23">
        <v>25</v>
      </c>
      <c r="G116" s="23">
        <v>25</v>
      </c>
      <c r="H116" s="23">
        <v>24</v>
      </c>
      <c r="I116" s="23">
        <v>24</v>
      </c>
      <c r="J116" s="23">
        <v>24</v>
      </c>
      <c r="K116" s="23">
        <v>24</v>
      </c>
      <c r="L116" s="23">
        <v>23</v>
      </c>
      <c r="M116" s="23">
        <v>23</v>
      </c>
      <c r="N116" s="18"/>
    </row>
    <row r="117" spans="2:15" x14ac:dyDescent="0.3">
      <c r="B117">
        <v>112</v>
      </c>
      <c r="D117" s="18">
        <v>23</v>
      </c>
      <c r="E117" s="19">
        <v>22</v>
      </c>
      <c r="F117" s="23">
        <v>22</v>
      </c>
      <c r="G117" s="23">
        <v>22</v>
      </c>
      <c r="H117" s="23">
        <v>22</v>
      </c>
      <c r="I117" s="23">
        <v>21</v>
      </c>
      <c r="J117" s="23">
        <v>21</v>
      </c>
      <c r="K117" s="23">
        <v>21</v>
      </c>
      <c r="L117" s="23">
        <v>21</v>
      </c>
      <c r="M117" s="23">
        <v>20</v>
      </c>
      <c r="N117" s="18"/>
    </row>
    <row r="118" spans="2:15" x14ac:dyDescent="0.3">
      <c r="B118">
        <v>113</v>
      </c>
      <c r="D118" s="18">
        <v>20</v>
      </c>
      <c r="E118" s="19">
        <v>20</v>
      </c>
      <c r="F118" s="23">
        <v>20</v>
      </c>
      <c r="G118" s="23">
        <v>20</v>
      </c>
      <c r="H118" s="23">
        <v>20</v>
      </c>
      <c r="I118" s="23">
        <v>19</v>
      </c>
      <c r="J118" s="23">
        <v>19</v>
      </c>
      <c r="K118" s="23">
        <v>19</v>
      </c>
      <c r="L118" s="23">
        <v>19</v>
      </c>
      <c r="M118" s="23">
        <v>19</v>
      </c>
      <c r="N118" s="18"/>
    </row>
    <row r="119" spans="2:15" x14ac:dyDescent="0.3">
      <c r="B119">
        <v>114</v>
      </c>
      <c r="D119" s="18">
        <v>19</v>
      </c>
      <c r="E119" s="23">
        <v>19</v>
      </c>
      <c r="F119" s="23">
        <v>19</v>
      </c>
      <c r="G119" s="23">
        <v>19</v>
      </c>
      <c r="H119" s="23">
        <v>19</v>
      </c>
      <c r="I119" s="23">
        <v>18</v>
      </c>
      <c r="J119" s="23">
        <v>18</v>
      </c>
      <c r="K119" s="23">
        <v>18</v>
      </c>
      <c r="L119" s="23">
        <v>18</v>
      </c>
      <c r="M119" s="23">
        <v>18</v>
      </c>
      <c r="N119" s="18"/>
    </row>
    <row r="120" spans="2:15" x14ac:dyDescent="0.3">
      <c r="B120">
        <v>115</v>
      </c>
      <c r="D120" s="18">
        <v>17</v>
      </c>
      <c r="E120" s="23">
        <v>17</v>
      </c>
      <c r="F120" s="23">
        <v>17</v>
      </c>
      <c r="G120" s="23">
        <v>17</v>
      </c>
      <c r="H120" s="23">
        <v>17</v>
      </c>
      <c r="I120" s="23">
        <v>17</v>
      </c>
      <c r="J120" s="23">
        <v>16</v>
      </c>
      <c r="K120" s="23">
        <v>16</v>
      </c>
      <c r="L120" s="23">
        <v>16</v>
      </c>
      <c r="M120" s="23">
        <v>16</v>
      </c>
      <c r="N120" s="18"/>
    </row>
    <row r="121" spans="2:15" x14ac:dyDescent="0.3">
      <c r="B121">
        <v>116</v>
      </c>
      <c r="D121" s="18">
        <v>16</v>
      </c>
      <c r="E121" s="23">
        <v>15</v>
      </c>
      <c r="F121" s="23">
        <v>15</v>
      </c>
      <c r="G121" s="23">
        <v>15</v>
      </c>
      <c r="H121" s="23">
        <v>15</v>
      </c>
      <c r="I121" s="23">
        <v>15</v>
      </c>
      <c r="J121" s="23">
        <v>15</v>
      </c>
      <c r="K121" s="23">
        <v>15</v>
      </c>
      <c r="L121" s="23">
        <v>15</v>
      </c>
      <c r="M121" s="23">
        <v>15</v>
      </c>
      <c r="N121" s="18"/>
    </row>
    <row r="122" spans="2:15" x14ac:dyDescent="0.3">
      <c r="B122">
        <v>117</v>
      </c>
      <c r="D122" s="18">
        <v>14</v>
      </c>
      <c r="E122" s="23">
        <v>14</v>
      </c>
      <c r="F122" s="23">
        <v>14</v>
      </c>
      <c r="G122" s="23">
        <v>14</v>
      </c>
      <c r="H122" s="23">
        <v>14</v>
      </c>
      <c r="I122" s="23">
        <v>14</v>
      </c>
      <c r="J122" s="23">
        <v>14</v>
      </c>
      <c r="K122" s="23">
        <v>14</v>
      </c>
      <c r="L122" s="23">
        <v>14</v>
      </c>
      <c r="M122" s="23">
        <v>14</v>
      </c>
      <c r="N122" s="18"/>
    </row>
    <row r="123" spans="2:15" x14ac:dyDescent="0.3">
      <c r="B123">
        <v>118</v>
      </c>
      <c r="D123" s="18">
        <v>13</v>
      </c>
      <c r="E123" s="23">
        <v>13</v>
      </c>
      <c r="F123" s="23">
        <v>13</v>
      </c>
      <c r="G123" s="23">
        <v>13</v>
      </c>
      <c r="H123" s="23">
        <v>13</v>
      </c>
      <c r="I123" s="23">
        <v>13</v>
      </c>
      <c r="J123" s="23">
        <v>13</v>
      </c>
      <c r="K123" s="23">
        <v>13</v>
      </c>
      <c r="L123" s="23">
        <v>13</v>
      </c>
      <c r="M123" s="23">
        <v>13</v>
      </c>
      <c r="N123" s="18"/>
    </row>
    <row r="124" spans="2:15" x14ac:dyDescent="0.3">
      <c r="B124">
        <v>119</v>
      </c>
      <c r="D124" s="18">
        <v>13</v>
      </c>
      <c r="E124" s="23">
        <v>13</v>
      </c>
      <c r="F124" s="23">
        <v>13</v>
      </c>
      <c r="G124" s="23">
        <v>13</v>
      </c>
      <c r="H124" s="23">
        <v>13</v>
      </c>
      <c r="I124" s="23">
        <v>13</v>
      </c>
      <c r="J124" s="23">
        <v>13</v>
      </c>
      <c r="K124" s="23">
        <v>13</v>
      </c>
      <c r="L124" s="23">
        <v>13</v>
      </c>
      <c r="M124" s="23">
        <v>13</v>
      </c>
      <c r="N124" s="18"/>
    </row>
    <row r="125" spans="2:15" x14ac:dyDescent="0.3">
      <c r="B125">
        <v>120</v>
      </c>
      <c r="D125" s="18">
        <v>12</v>
      </c>
      <c r="E125" s="23">
        <v>12</v>
      </c>
      <c r="F125" s="23">
        <v>12</v>
      </c>
      <c r="G125" s="23">
        <v>12</v>
      </c>
      <c r="H125" s="23">
        <v>12</v>
      </c>
      <c r="I125" s="23">
        <v>12</v>
      </c>
      <c r="J125" s="23">
        <v>12</v>
      </c>
      <c r="K125" s="23">
        <v>12</v>
      </c>
      <c r="L125" s="23">
        <v>12</v>
      </c>
      <c r="M125" s="19">
        <v>12</v>
      </c>
      <c r="N125" s="18">
        <v>200000</v>
      </c>
      <c r="O125">
        <v>3572</v>
      </c>
    </row>
    <row r="126" spans="2:15" x14ac:dyDescent="0.3">
      <c r="B126">
        <v>121</v>
      </c>
      <c r="D126" s="18">
        <v>64</v>
      </c>
      <c r="E126" s="19"/>
      <c r="F126" s="19"/>
      <c r="G126" s="19"/>
      <c r="H126" s="19"/>
      <c r="I126" s="19"/>
      <c r="J126" s="19"/>
      <c r="K126" s="19"/>
      <c r="L126" s="19"/>
      <c r="M126" s="19"/>
      <c r="N126" s="18"/>
    </row>
    <row r="127" spans="2:15" x14ac:dyDescent="0.3">
      <c r="B127">
        <v>122</v>
      </c>
      <c r="D127" s="18"/>
      <c r="E127" s="19"/>
      <c r="F127" s="19"/>
      <c r="G127" s="19"/>
      <c r="H127" s="19"/>
      <c r="I127" s="19"/>
      <c r="J127" s="19"/>
      <c r="K127" s="19"/>
      <c r="L127" s="19"/>
      <c r="M127" s="19"/>
      <c r="N127" s="18"/>
    </row>
    <row r="128" spans="2:15" x14ac:dyDescent="0.3">
      <c r="B128">
        <v>123</v>
      </c>
      <c r="D128" s="18"/>
      <c r="E128" s="19"/>
      <c r="F128" s="19"/>
      <c r="G128" s="19"/>
      <c r="H128" s="19"/>
      <c r="I128" s="19"/>
      <c r="J128" s="19"/>
      <c r="K128" s="19"/>
      <c r="L128" s="19"/>
      <c r="M128" s="19"/>
      <c r="N128" s="18"/>
    </row>
    <row r="129" spans="2:14" x14ac:dyDescent="0.3">
      <c r="B129">
        <v>124</v>
      </c>
      <c r="D129" s="18"/>
      <c r="E129" s="19"/>
      <c r="F129" s="19"/>
      <c r="G129" s="19"/>
      <c r="H129" s="19"/>
      <c r="I129" s="19"/>
      <c r="J129" s="19"/>
      <c r="K129" s="19"/>
      <c r="L129" s="19"/>
      <c r="M129" s="19"/>
      <c r="N129" s="18"/>
    </row>
    <row r="130" spans="2:14" x14ac:dyDescent="0.3">
      <c r="B130">
        <v>125</v>
      </c>
      <c r="D130" s="18"/>
      <c r="E130" s="19"/>
      <c r="F130" s="19"/>
      <c r="G130" s="19"/>
      <c r="H130" s="19"/>
      <c r="I130" s="19"/>
      <c r="J130" s="19"/>
      <c r="K130" s="19"/>
      <c r="L130" s="19"/>
      <c r="M130" s="19"/>
      <c r="N130" s="18"/>
    </row>
    <row r="131" spans="2:14" x14ac:dyDescent="0.3">
      <c r="B131">
        <v>126</v>
      </c>
      <c r="D131" s="18"/>
      <c r="E131" s="19"/>
      <c r="F131" s="19"/>
      <c r="G131" s="19"/>
      <c r="H131" s="19"/>
      <c r="I131" s="19"/>
      <c r="J131" s="19"/>
      <c r="K131" s="19"/>
      <c r="L131" s="19"/>
      <c r="M131" s="19"/>
      <c r="N131" s="18"/>
    </row>
    <row r="132" spans="2:14" x14ac:dyDescent="0.3">
      <c r="B132">
        <v>127</v>
      </c>
      <c r="D132" s="18"/>
      <c r="E132" s="19"/>
      <c r="F132" s="19"/>
      <c r="G132" s="19"/>
      <c r="H132" s="19"/>
      <c r="I132" s="19"/>
      <c r="J132" s="19"/>
      <c r="K132" s="19"/>
      <c r="L132" s="19"/>
      <c r="M132" s="19"/>
      <c r="N132" s="18">
        <v>270000</v>
      </c>
    </row>
    <row r="133" spans="2:14" x14ac:dyDescent="0.3">
      <c r="B133">
        <v>128</v>
      </c>
      <c r="D133" s="18"/>
      <c r="E133" s="19">
        <v>23</v>
      </c>
      <c r="F133" s="19"/>
      <c r="G133" s="19"/>
      <c r="H133" s="19"/>
      <c r="I133" s="19"/>
      <c r="J133" s="19"/>
      <c r="K133" s="19"/>
      <c r="L133" s="19"/>
      <c r="M133" s="19"/>
      <c r="N133" s="18"/>
    </row>
    <row r="134" spans="2:14" x14ac:dyDescent="0.3">
      <c r="B134">
        <v>129</v>
      </c>
      <c r="D134" s="18"/>
      <c r="E134" s="19"/>
      <c r="F134" s="19"/>
      <c r="G134" s="19"/>
      <c r="H134" s="19"/>
      <c r="I134" s="19"/>
      <c r="J134" s="19"/>
      <c r="K134" s="19"/>
      <c r="L134" s="19"/>
      <c r="M134" s="19"/>
      <c r="N134" s="18"/>
    </row>
    <row r="135" spans="2:14" x14ac:dyDescent="0.3">
      <c r="B135">
        <v>130</v>
      </c>
      <c r="D135" s="18"/>
      <c r="E135" s="19"/>
      <c r="F135" s="19"/>
      <c r="G135" s="19"/>
      <c r="H135" s="19"/>
      <c r="I135" s="19"/>
      <c r="J135" s="19"/>
      <c r="K135" s="19"/>
      <c r="L135" s="19"/>
      <c r="M135" s="19"/>
      <c r="N135" s="18">
        <v>300000</v>
      </c>
    </row>
    <row r="136" spans="2:14" x14ac:dyDescent="0.3">
      <c r="B136">
        <v>131</v>
      </c>
      <c r="D136" s="18"/>
      <c r="E136" s="19"/>
      <c r="F136" s="19"/>
      <c r="G136" s="19"/>
      <c r="H136" s="19"/>
      <c r="I136" s="19"/>
      <c r="J136" s="19"/>
      <c r="K136" s="19"/>
      <c r="L136" s="19"/>
      <c r="M136" s="19"/>
      <c r="N136" s="18"/>
    </row>
    <row r="137" spans="2:14" x14ac:dyDescent="0.3">
      <c r="B137">
        <v>132</v>
      </c>
      <c r="D137" s="18"/>
      <c r="E137" s="19"/>
      <c r="F137" s="19"/>
      <c r="G137" s="19"/>
      <c r="H137" s="19"/>
      <c r="I137" s="19"/>
      <c r="J137" s="19"/>
      <c r="K137" s="19"/>
      <c r="L137" s="19"/>
      <c r="M137" s="19"/>
      <c r="N137" s="18"/>
    </row>
    <row r="138" spans="2:14" x14ac:dyDescent="0.3">
      <c r="B138">
        <v>133</v>
      </c>
      <c r="D138" s="18"/>
      <c r="E138" s="19"/>
      <c r="F138" s="19"/>
      <c r="G138" s="19"/>
      <c r="H138" s="19"/>
      <c r="I138" s="19"/>
      <c r="J138" s="19"/>
      <c r="K138" s="19"/>
      <c r="L138" s="19"/>
      <c r="M138" s="19"/>
      <c r="N138" s="18"/>
    </row>
    <row r="139" spans="2:14" x14ac:dyDescent="0.3">
      <c r="B139">
        <v>134</v>
      </c>
      <c r="D139" s="18"/>
      <c r="E139" s="19"/>
      <c r="F139" s="19"/>
      <c r="G139" s="19"/>
      <c r="H139" s="19"/>
      <c r="I139" s="19"/>
      <c r="J139" s="19"/>
      <c r="K139" s="19"/>
      <c r="L139" s="19"/>
      <c r="M139" s="19"/>
      <c r="N139" s="18"/>
    </row>
    <row r="140" spans="2:14" x14ac:dyDescent="0.3">
      <c r="B140">
        <v>135</v>
      </c>
      <c r="D140" s="18"/>
      <c r="E140" s="19"/>
      <c r="F140" s="19"/>
      <c r="G140" s="19"/>
      <c r="H140" s="19"/>
      <c r="I140" s="19"/>
      <c r="J140" s="19"/>
      <c r="K140" s="19"/>
      <c r="L140" s="19"/>
      <c r="M140" s="19"/>
      <c r="N140" s="18"/>
    </row>
    <row r="141" spans="2:14" x14ac:dyDescent="0.3">
      <c r="B141">
        <v>136</v>
      </c>
      <c r="D141" s="18"/>
      <c r="E141" s="19"/>
      <c r="F141" s="19"/>
      <c r="G141" s="19"/>
      <c r="H141" s="19"/>
      <c r="I141" s="19"/>
      <c r="J141" s="19"/>
      <c r="K141" s="19"/>
      <c r="L141" s="19"/>
      <c r="M141" s="19"/>
      <c r="N141" s="18"/>
    </row>
    <row r="142" spans="2:14" x14ac:dyDescent="0.3">
      <c r="B142">
        <v>137</v>
      </c>
      <c r="D142" s="18"/>
      <c r="E142" s="19"/>
      <c r="F142" s="19"/>
      <c r="G142" s="19"/>
      <c r="H142" s="19"/>
      <c r="I142" s="19"/>
      <c r="J142" s="19"/>
      <c r="K142" s="19"/>
      <c r="L142" s="19"/>
      <c r="M142" s="19"/>
      <c r="N142" s="18"/>
    </row>
    <row r="143" spans="2:14" x14ac:dyDescent="0.3">
      <c r="B143">
        <v>138</v>
      </c>
      <c r="D143" s="18"/>
      <c r="E143" s="19"/>
      <c r="F143" s="19"/>
      <c r="G143" s="19"/>
      <c r="H143" s="19"/>
      <c r="I143" s="19"/>
      <c r="J143" s="19"/>
      <c r="K143" s="19"/>
      <c r="L143" s="19"/>
      <c r="M143" s="19"/>
      <c r="N143" s="18"/>
    </row>
    <row r="144" spans="2:14" x14ac:dyDescent="0.3">
      <c r="B144">
        <v>139</v>
      </c>
      <c r="D144" s="18"/>
      <c r="E144" s="19"/>
      <c r="F144" s="19"/>
      <c r="G144" s="19"/>
      <c r="H144" s="19"/>
      <c r="I144" s="19"/>
      <c r="J144" s="19"/>
      <c r="K144" s="19"/>
      <c r="L144" s="19"/>
      <c r="M144" s="19"/>
      <c r="N144" s="18"/>
    </row>
    <row r="145" spans="2:14" x14ac:dyDescent="0.3">
      <c r="B145">
        <v>140</v>
      </c>
      <c r="D145" s="18"/>
      <c r="E145" s="19"/>
      <c r="F145" s="19"/>
      <c r="G145" s="19"/>
      <c r="H145" s="19"/>
      <c r="I145" s="19"/>
      <c r="J145" s="19"/>
      <c r="K145" s="19"/>
      <c r="L145" s="19"/>
      <c r="M145" s="19"/>
      <c r="N145" s="18"/>
    </row>
    <row r="146" spans="2:14" x14ac:dyDescent="0.3">
      <c r="B146">
        <v>141</v>
      </c>
      <c r="D146" s="18"/>
      <c r="E146" s="19"/>
      <c r="F146" s="19"/>
      <c r="G146" s="19"/>
      <c r="H146" s="19"/>
      <c r="I146" s="19"/>
      <c r="J146" s="19"/>
      <c r="K146" s="19"/>
      <c r="L146" s="19"/>
      <c r="M146" s="19"/>
      <c r="N146" s="18"/>
    </row>
    <row r="147" spans="2:14" x14ac:dyDescent="0.3">
      <c r="B147">
        <v>142</v>
      </c>
      <c r="D147" s="18"/>
      <c r="E147" s="19"/>
      <c r="F147" s="19"/>
      <c r="G147" s="19"/>
      <c r="H147" s="19"/>
      <c r="I147" s="19"/>
      <c r="J147" s="19"/>
      <c r="K147" s="19"/>
      <c r="L147" s="19"/>
      <c r="M147" s="19"/>
      <c r="N147" s="18"/>
    </row>
    <row r="148" spans="2:14" x14ac:dyDescent="0.3">
      <c r="B148">
        <v>143</v>
      </c>
      <c r="D148" s="18"/>
      <c r="E148" s="19"/>
      <c r="F148" s="19"/>
      <c r="G148" s="19"/>
      <c r="H148" s="19"/>
      <c r="I148" s="19"/>
      <c r="J148" s="19"/>
      <c r="K148" s="19"/>
      <c r="L148" s="19"/>
      <c r="M148" s="19"/>
      <c r="N148" s="18"/>
    </row>
    <row r="149" spans="2:14" x14ac:dyDescent="0.3">
      <c r="B149">
        <v>144</v>
      </c>
      <c r="D149" s="18"/>
      <c r="E149" s="19"/>
      <c r="F149" s="19"/>
      <c r="G149" s="19"/>
      <c r="H149" s="19"/>
      <c r="I149" s="19"/>
      <c r="J149" s="19"/>
      <c r="K149" s="19"/>
      <c r="L149" s="19"/>
      <c r="M149" s="19"/>
      <c r="N149" s="18"/>
    </row>
    <row r="150" spans="2:14" x14ac:dyDescent="0.3">
      <c r="B150">
        <v>145</v>
      </c>
      <c r="D150" s="18"/>
      <c r="E150" s="19"/>
      <c r="F150" s="19"/>
      <c r="G150" s="19"/>
      <c r="H150" s="19"/>
      <c r="I150" s="19"/>
      <c r="J150" s="19"/>
      <c r="K150" s="19"/>
      <c r="L150" s="19"/>
      <c r="M150" s="19"/>
      <c r="N150" s="18"/>
    </row>
    <row r="151" spans="2:14" x14ac:dyDescent="0.3">
      <c r="B151">
        <v>146</v>
      </c>
      <c r="D151" s="18"/>
      <c r="E151" s="19"/>
      <c r="F151" s="19"/>
      <c r="G151" s="19"/>
      <c r="H151" s="19"/>
      <c r="I151" s="19"/>
      <c r="J151" s="19"/>
      <c r="K151" s="19"/>
      <c r="L151" s="19"/>
      <c r="M151" s="19"/>
      <c r="N151" s="18"/>
    </row>
    <row r="152" spans="2:14" x14ac:dyDescent="0.3">
      <c r="B152">
        <v>147</v>
      </c>
      <c r="D152" s="18"/>
      <c r="E152" s="19"/>
      <c r="F152" s="19"/>
      <c r="G152" s="19"/>
      <c r="H152" s="19"/>
      <c r="I152" s="19"/>
      <c r="J152" s="19"/>
      <c r="K152" s="19"/>
      <c r="L152" s="19"/>
      <c r="M152" s="19"/>
      <c r="N152" s="18"/>
    </row>
    <row r="153" spans="2:14" x14ac:dyDescent="0.3">
      <c r="B153">
        <v>148</v>
      </c>
      <c r="D153" s="18"/>
      <c r="E153" s="19"/>
      <c r="F153" s="19"/>
      <c r="G153" s="19"/>
      <c r="H153" s="19"/>
      <c r="I153" s="19"/>
      <c r="J153" s="19"/>
      <c r="K153" s="19"/>
      <c r="L153" s="19"/>
      <c r="M153" s="19"/>
      <c r="N153" s="18"/>
    </row>
    <row r="154" spans="2:14" x14ac:dyDescent="0.3">
      <c r="B154">
        <v>149</v>
      </c>
      <c r="D154" s="18"/>
      <c r="E154" s="19"/>
      <c r="F154" s="19"/>
      <c r="G154" s="19"/>
      <c r="H154" s="19"/>
      <c r="I154" s="19"/>
      <c r="J154" s="19"/>
      <c r="K154" s="19"/>
      <c r="L154" s="19"/>
      <c r="M154" s="19"/>
      <c r="N154" s="18"/>
    </row>
    <row r="155" spans="2:14" x14ac:dyDescent="0.3">
      <c r="B155">
        <v>150</v>
      </c>
      <c r="D155" s="18"/>
      <c r="E155" s="19"/>
      <c r="F155" s="19"/>
      <c r="G155" s="19"/>
      <c r="H155" s="19"/>
      <c r="I155" s="19"/>
      <c r="J155" s="19"/>
      <c r="K155" s="19"/>
      <c r="L155" s="19"/>
      <c r="M155" s="19"/>
      <c r="N155" s="18"/>
    </row>
    <row r="156" spans="2:14" x14ac:dyDescent="0.3">
      <c r="B156">
        <v>151</v>
      </c>
      <c r="D156" s="18"/>
      <c r="E156" s="19"/>
      <c r="F156" s="19"/>
      <c r="G156" s="19"/>
      <c r="H156" s="19"/>
      <c r="I156" s="19"/>
      <c r="J156" s="19"/>
      <c r="K156" s="19"/>
      <c r="L156" s="19"/>
      <c r="M156" s="19"/>
      <c r="N156" s="18"/>
    </row>
    <row r="157" spans="2:14" x14ac:dyDescent="0.3">
      <c r="B157">
        <v>152</v>
      </c>
      <c r="D157" s="18"/>
      <c r="E157" s="19"/>
      <c r="F157" s="19"/>
      <c r="G157" s="19"/>
      <c r="H157" s="19"/>
      <c r="I157" s="19"/>
      <c r="J157" s="19"/>
      <c r="K157" s="19"/>
      <c r="L157" s="19"/>
      <c r="M157" s="19"/>
      <c r="N157" s="18"/>
    </row>
    <row r="158" spans="2:14" x14ac:dyDescent="0.3">
      <c r="B158">
        <v>153</v>
      </c>
      <c r="D158" s="18"/>
      <c r="E158" s="19"/>
      <c r="F158" s="19"/>
      <c r="G158" s="19"/>
      <c r="H158" s="19"/>
      <c r="I158" s="19"/>
      <c r="J158" s="19"/>
      <c r="K158" s="19"/>
      <c r="L158" s="19"/>
      <c r="M158" s="19"/>
      <c r="N158" s="18"/>
    </row>
    <row r="159" spans="2:14" x14ac:dyDescent="0.3">
      <c r="B159">
        <v>154</v>
      </c>
      <c r="D159" s="18"/>
      <c r="E159" s="19"/>
      <c r="F159" s="19"/>
      <c r="G159" s="19"/>
      <c r="H159" s="19"/>
      <c r="I159" s="19"/>
      <c r="J159" s="19"/>
      <c r="K159" s="19"/>
      <c r="L159" s="19"/>
      <c r="M159" s="19"/>
      <c r="N159" s="18"/>
    </row>
    <row r="160" spans="2:14" x14ac:dyDescent="0.3">
      <c r="B160">
        <v>155</v>
      </c>
      <c r="D160" s="18"/>
      <c r="E160" s="19"/>
      <c r="F160" s="19"/>
      <c r="G160" s="19"/>
      <c r="H160" s="19"/>
      <c r="I160" s="19"/>
      <c r="J160" s="19"/>
      <c r="K160" s="19"/>
      <c r="L160" s="19"/>
      <c r="M160" s="19"/>
      <c r="N160" s="18"/>
    </row>
    <row r="161" spans="2:14" x14ac:dyDescent="0.3">
      <c r="B161">
        <v>156</v>
      </c>
      <c r="D161" s="18"/>
      <c r="E161" s="19"/>
      <c r="F161" s="19"/>
      <c r="G161" s="19"/>
      <c r="H161" s="19"/>
      <c r="I161" s="19"/>
      <c r="J161" s="19"/>
      <c r="K161" s="19"/>
      <c r="L161" s="19"/>
      <c r="M161" s="19"/>
      <c r="N161" s="18"/>
    </row>
    <row r="162" spans="2:14" x14ac:dyDescent="0.3">
      <c r="B162">
        <v>157</v>
      </c>
      <c r="D162" s="18"/>
      <c r="E162" s="19"/>
      <c r="F162" s="19"/>
      <c r="G162" s="19"/>
      <c r="H162" s="19"/>
      <c r="I162" s="19"/>
      <c r="J162" s="19"/>
      <c r="K162" s="19"/>
      <c r="L162" s="19"/>
      <c r="M162" s="19"/>
      <c r="N162" s="18"/>
    </row>
    <row r="163" spans="2:14" x14ac:dyDescent="0.3">
      <c r="B163">
        <v>158</v>
      </c>
      <c r="D163" s="18"/>
      <c r="E163" s="19"/>
      <c r="F163" s="19"/>
      <c r="G163" s="19"/>
      <c r="H163" s="19"/>
      <c r="I163" s="19"/>
      <c r="J163" s="19"/>
      <c r="K163" s="19"/>
      <c r="L163" s="19"/>
      <c r="M163" s="19"/>
      <c r="N163" s="18"/>
    </row>
    <row r="164" spans="2:14" x14ac:dyDescent="0.3">
      <c r="B164">
        <v>159</v>
      </c>
      <c r="D164" s="18"/>
      <c r="E164" s="19"/>
      <c r="F164" s="19"/>
      <c r="G164" s="19"/>
      <c r="H164" s="19"/>
      <c r="I164" s="19"/>
      <c r="J164" s="19"/>
      <c r="K164" s="19"/>
      <c r="L164" s="19"/>
      <c r="M164" s="19"/>
      <c r="N164" s="18"/>
    </row>
    <row r="165" spans="2:14" x14ac:dyDescent="0.3">
      <c r="B165">
        <v>160</v>
      </c>
      <c r="D165" s="18"/>
      <c r="E165" s="19"/>
      <c r="F165" s="19"/>
      <c r="G165" s="19"/>
      <c r="H165" s="19"/>
      <c r="I165" s="19"/>
      <c r="J165" s="19"/>
      <c r="K165" s="19"/>
      <c r="L165" s="19"/>
      <c r="M165" s="19"/>
      <c r="N165" s="18"/>
    </row>
    <row r="166" spans="2:14" x14ac:dyDescent="0.3">
      <c r="B166">
        <v>161</v>
      </c>
      <c r="D166" s="18"/>
      <c r="E166" s="19"/>
      <c r="F166" s="19"/>
      <c r="G166" s="19"/>
      <c r="H166" s="19"/>
      <c r="I166" s="19"/>
      <c r="J166" s="19"/>
      <c r="K166" s="19"/>
      <c r="L166" s="19"/>
      <c r="M166" s="19"/>
      <c r="N166" s="18"/>
    </row>
    <row r="167" spans="2:14" x14ac:dyDescent="0.3">
      <c r="B167">
        <v>162</v>
      </c>
      <c r="D167" s="18"/>
      <c r="E167" s="19"/>
      <c r="F167" s="19"/>
      <c r="G167" s="19"/>
      <c r="H167" s="19"/>
      <c r="I167" s="19"/>
      <c r="J167" s="19"/>
      <c r="K167" s="19"/>
      <c r="L167" s="19"/>
      <c r="M167" s="19"/>
      <c r="N167" s="18"/>
    </row>
    <row r="168" spans="2:14" x14ac:dyDescent="0.3">
      <c r="B168">
        <v>163</v>
      </c>
      <c r="D168" s="18"/>
      <c r="E168" s="19"/>
      <c r="F168" s="19"/>
      <c r="G168" s="19"/>
      <c r="H168" s="19"/>
      <c r="I168" s="19"/>
      <c r="J168" s="19"/>
      <c r="K168" s="19"/>
      <c r="L168" s="19"/>
      <c r="M168" s="19"/>
      <c r="N168" s="18"/>
    </row>
    <row r="169" spans="2:14" x14ac:dyDescent="0.3">
      <c r="B169">
        <v>164</v>
      </c>
      <c r="D169" s="18"/>
      <c r="E169" s="19"/>
      <c r="F169" s="19"/>
      <c r="G169" s="19"/>
      <c r="H169" s="19"/>
      <c r="I169" s="19"/>
      <c r="J169" s="19"/>
      <c r="K169" s="19"/>
      <c r="L169" s="19"/>
      <c r="M169" s="19"/>
      <c r="N169" s="18"/>
    </row>
    <row r="170" spans="2:14" x14ac:dyDescent="0.3">
      <c r="B170">
        <v>165</v>
      </c>
      <c r="D170" s="18"/>
      <c r="E170" s="19"/>
      <c r="F170" s="19"/>
      <c r="G170" s="19"/>
      <c r="H170" s="19"/>
      <c r="I170" s="19"/>
      <c r="J170" s="19"/>
      <c r="K170" s="19"/>
      <c r="L170" s="19"/>
      <c r="M170" s="19"/>
      <c r="N170" s="18"/>
    </row>
    <row r="171" spans="2:14" x14ac:dyDescent="0.3">
      <c r="B171">
        <v>166</v>
      </c>
      <c r="D171" s="18"/>
      <c r="E171" s="19"/>
      <c r="F171" s="19"/>
      <c r="G171" s="19"/>
      <c r="H171" s="19"/>
      <c r="I171" s="19"/>
      <c r="J171" s="19"/>
      <c r="K171" s="19"/>
      <c r="L171" s="19"/>
      <c r="M171" s="19"/>
      <c r="N171" s="18"/>
    </row>
    <row r="172" spans="2:14" x14ac:dyDescent="0.3">
      <c r="B172">
        <v>167</v>
      </c>
      <c r="D172" s="18"/>
      <c r="E172" s="19"/>
      <c r="F172" s="19"/>
      <c r="G172" s="19"/>
      <c r="H172" s="19"/>
      <c r="I172" s="19"/>
      <c r="J172" s="19"/>
      <c r="K172" s="19"/>
      <c r="L172" s="19"/>
      <c r="M172" s="19"/>
      <c r="N172" s="18"/>
    </row>
    <row r="173" spans="2:14" x14ac:dyDescent="0.3">
      <c r="B173">
        <v>168</v>
      </c>
      <c r="D173" s="18"/>
      <c r="E173" s="19"/>
      <c r="F173" s="19"/>
      <c r="G173" s="19"/>
      <c r="H173" s="19"/>
      <c r="I173" s="19"/>
      <c r="J173" s="19"/>
      <c r="K173" s="19"/>
      <c r="L173" s="19"/>
      <c r="M173" s="19"/>
      <c r="N173" s="18"/>
    </row>
    <row r="174" spans="2:14" x14ac:dyDescent="0.3">
      <c r="B174">
        <v>169</v>
      </c>
      <c r="D174" s="18"/>
      <c r="E174" s="19"/>
      <c r="F174" s="19"/>
      <c r="G174" s="19"/>
      <c r="H174" s="19"/>
      <c r="I174" s="19"/>
      <c r="J174" s="19"/>
      <c r="K174" s="19"/>
      <c r="L174" s="19"/>
      <c r="M174" s="19"/>
      <c r="N174" s="18"/>
    </row>
    <row r="175" spans="2:14" x14ac:dyDescent="0.3">
      <c r="B175">
        <v>170</v>
      </c>
      <c r="D175" s="18"/>
      <c r="E175" s="19"/>
      <c r="F175" s="19"/>
      <c r="G175" s="19"/>
      <c r="H175" s="19"/>
      <c r="I175" s="19"/>
      <c r="J175" s="19"/>
      <c r="K175" s="19"/>
      <c r="L175" s="19"/>
      <c r="M175" s="19"/>
      <c r="N175" s="18"/>
    </row>
    <row r="176" spans="2:14" x14ac:dyDescent="0.3">
      <c r="B176">
        <v>171</v>
      </c>
      <c r="D176" s="18"/>
      <c r="E176" s="19"/>
      <c r="F176" s="19"/>
      <c r="G176" s="19"/>
      <c r="H176" s="19"/>
      <c r="I176" s="19"/>
      <c r="J176" s="19"/>
      <c r="K176" s="19"/>
      <c r="L176" s="19"/>
      <c r="M176" s="19"/>
      <c r="N176" s="18"/>
    </row>
    <row r="177" spans="2:14" x14ac:dyDescent="0.3">
      <c r="B177">
        <v>172</v>
      </c>
      <c r="D177" s="18"/>
      <c r="E177" s="19"/>
      <c r="F177" s="19"/>
      <c r="G177" s="19"/>
      <c r="H177" s="19"/>
      <c r="I177" s="19"/>
      <c r="J177" s="19"/>
      <c r="K177" s="19"/>
      <c r="L177" s="19"/>
      <c r="M177" s="19"/>
      <c r="N177" s="18"/>
    </row>
    <row r="178" spans="2:14" x14ac:dyDescent="0.3">
      <c r="B178">
        <v>173</v>
      </c>
      <c r="D178" s="18"/>
      <c r="E178" s="19"/>
      <c r="F178" s="19"/>
      <c r="G178" s="19"/>
      <c r="H178" s="19"/>
      <c r="I178" s="19"/>
      <c r="J178" s="19"/>
      <c r="K178" s="19"/>
      <c r="L178" s="19"/>
      <c r="M178" s="19"/>
      <c r="N178" s="18"/>
    </row>
    <row r="179" spans="2:14" x14ac:dyDescent="0.3">
      <c r="B179">
        <v>174</v>
      </c>
      <c r="D179" s="18"/>
      <c r="E179" s="19"/>
      <c r="F179" s="19"/>
      <c r="G179" s="19"/>
      <c r="H179" s="19"/>
      <c r="I179" s="19"/>
      <c r="J179" s="19"/>
      <c r="K179" s="19"/>
      <c r="L179" s="19"/>
      <c r="M179" s="19"/>
      <c r="N179" s="18"/>
    </row>
    <row r="180" spans="2:14" x14ac:dyDescent="0.3">
      <c r="B180">
        <v>175</v>
      </c>
      <c r="D180" s="18"/>
      <c r="E180" s="19"/>
      <c r="F180" s="19"/>
      <c r="G180" s="19"/>
      <c r="H180" s="19"/>
      <c r="I180" s="19"/>
      <c r="J180" s="19"/>
      <c r="K180" s="19"/>
      <c r="L180" s="19"/>
      <c r="M180" s="19"/>
      <c r="N180" s="18"/>
    </row>
    <row r="181" spans="2:14" x14ac:dyDescent="0.3">
      <c r="B181">
        <v>176</v>
      </c>
      <c r="D181" s="18"/>
      <c r="E181" s="19"/>
      <c r="F181" s="19"/>
      <c r="G181" s="19"/>
      <c r="H181" s="19"/>
      <c r="I181" s="19"/>
      <c r="J181" s="19"/>
      <c r="K181" s="19"/>
      <c r="L181" s="19"/>
      <c r="M181" s="19"/>
      <c r="N181" s="18"/>
    </row>
    <row r="182" spans="2:14" x14ac:dyDescent="0.3">
      <c r="B182">
        <v>177</v>
      </c>
      <c r="D182" s="18"/>
      <c r="E182" s="19"/>
      <c r="F182" s="19"/>
      <c r="G182" s="19"/>
      <c r="H182" s="19"/>
      <c r="I182" s="19"/>
      <c r="J182" s="19"/>
      <c r="K182" s="19"/>
      <c r="L182" s="19"/>
      <c r="M182" s="19"/>
      <c r="N182" s="18"/>
    </row>
    <row r="183" spans="2:14" x14ac:dyDescent="0.3">
      <c r="B183">
        <v>178</v>
      </c>
      <c r="D183" s="18"/>
      <c r="E183" s="19"/>
      <c r="F183" s="19"/>
      <c r="G183" s="19"/>
      <c r="H183" s="19"/>
      <c r="I183" s="19"/>
      <c r="J183" s="19"/>
      <c r="K183" s="19"/>
      <c r="L183" s="19"/>
      <c r="M183" s="19"/>
      <c r="N183" s="18"/>
    </row>
    <row r="184" spans="2:14" x14ac:dyDescent="0.3">
      <c r="B184">
        <v>179</v>
      </c>
      <c r="D184" s="18"/>
      <c r="E184" s="19"/>
      <c r="F184" s="19"/>
      <c r="G184" s="19"/>
      <c r="H184" s="19"/>
      <c r="I184" s="19"/>
      <c r="J184" s="19"/>
      <c r="K184" s="19"/>
      <c r="L184" s="19"/>
      <c r="M184" s="19"/>
      <c r="N184" s="18"/>
    </row>
    <row r="185" spans="2:14" x14ac:dyDescent="0.3">
      <c r="B185">
        <v>180</v>
      </c>
      <c r="D185" s="18"/>
      <c r="E185" s="19"/>
      <c r="F185" s="19"/>
      <c r="G185" s="19"/>
      <c r="H185" s="19"/>
      <c r="I185" s="19"/>
      <c r="J185" s="19"/>
      <c r="K185" s="19"/>
      <c r="L185" s="19"/>
      <c r="M185" s="19"/>
      <c r="N185" s="18"/>
    </row>
    <row r="186" spans="2:14" x14ac:dyDescent="0.3">
      <c r="B186">
        <v>181</v>
      </c>
      <c r="D186" s="18"/>
      <c r="E186" s="19"/>
      <c r="F186" s="19"/>
      <c r="G186" s="19"/>
      <c r="H186" s="19"/>
      <c r="I186" s="19"/>
      <c r="J186" s="19"/>
      <c r="K186" s="19"/>
      <c r="L186" s="19"/>
      <c r="M186" s="19"/>
      <c r="N186" s="18"/>
    </row>
    <row r="187" spans="2:14" x14ac:dyDescent="0.3">
      <c r="B187">
        <v>182</v>
      </c>
      <c r="D187" s="18"/>
      <c r="E187" s="19"/>
      <c r="F187" s="19"/>
      <c r="G187" s="19"/>
      <c r="H187" s="19"/>
      <c r="I187" s="19"/>
      <c r="J187" s="19"/>
      <c r="K187" s="19"/>
      <c r="L187" s="19"/>
      <c r="M187" s="19"/>
      <c r="N187" s="18"/>
    </row>
    <row r="188" spans="2:14" x14ac:dyDescent="0.3">
      <c r="B188">
        <v>183</v>
      </c>
      <c r="D188" s="18"/>
      <c r="E188" s="19"/>
      <c r="F188" s="19"/>
      <c r="G188" s="19"/>
      <c r="H188" s="19"/>
      <c r="I188" s="19"/>
      <c r="J188" s="19"/>
      <c r="K188" s="19"/>
      <c r="L188" s="19"/>
      <c r="M188" s="19"/>
      <c r="N188" s="18"/>
    </row>
    <row r="189" spans="2:14" x14ac:dyDescent="0.3">
      <c r="B189">
        <v>184</v>
      </c>
      <c r="D189" s="18"/>
      <c r="E189" s="19"/>
      <c r="F189" s="19"/>
      <c r="G189" s="19"/>
      <c r="H189" s="19"/>
      <c r="I189" s="19"/>
      <c r="J189" s="19"/>
      <c r="K189" s="19"/>
      <c r="L189" s="19"/>
      <c r="M189" s="19"/>
      <c r="N189" s="18"/>
    </row>
    <row r="190" spans="2:14" x14ac:dyDescent="0.3">
      <c r="B190">
        <v>185</v>
      </c>
      <c r="D190" s="18"/>
      <c r="E190" s="19"/>
      <c r="F190" s="19"/>
      <c r="G190" s="19"/>
      <c r="H190" s="19"/>
      <c r="I190" s="19"/>
      <c r="J190" s="19"/>
      <c r="K190" s="19"/>
      <c r="L190" s="19"/>
      <c r="M190" s="19"/>
      <c r="N190" s="18"/>
    </row>
    <row r="191" spans="2:14" x14ac:dyDescent="0.3">
      <c r="B191">
        <v>186</v>
      </c>
      <c r="D191" s="18"/>
      <c r="E191" s="19"/>
      <c r="F191" s="19"/>
      <c r="G191" s="19"/>
      <c r="H191" s="19"/>
      <c r="I191" s="19"/>
      <c r="J191" s="19"/>
      <c r="K191" s="19"/>
      <c r="L191" s="19"/>
      <c r="M191" s="19"/>
      <c r="N191" s="18"/>
    </row>
    <row r="192" spans="2:14" x14ac:dyDescent="0.3">
      <c r="B192">
        <v>187</v>
      </c>
      <c r="D192" s="18"/>
      <c r="E192" s="19"/>
      <c r="F192" s="19"/>
      <c r="G192" s="19"/>
      <c r="H192" s="19"/>
      <c r="I192" s="19"/>
      <c r="J192" s="19"/>
      <c r="K192" s="19"/>
      <c r="L192" s="19"/>
      <c r="M192" s="19"/>
      <c r="N192" s="18"/>
    </row>
    <row r="193" spans="2:14" x14ac:dyDescent="0.3">
      <c r="B193">
        <v>188</v>
      </c>
      <c r="D193" s="18"/>
      <c r="E193" s="19"/>
      <c r="F193" s="19"/>
      <c r="G193" s="19"/>
      <c r="H193" s="19"/>
      <c r="I193" s="19"/>
      <c r="J193" s="19"/>
      <c r="K193" s="19"/>
      <c r="L193" s="19"/>
      <c r="M193" s="19"/>
      <c r="N193" s="18"/>
    </row>
    <row r="194" spans="2:14" x14ac:dyDescent="0.3">
      <c r="B194">
        <v>189</v>
      </c>
      <c r="D194" s="18"/>
      <c r="E194" s="19"/>
      <c r="F194" s="19"/>
      <c r="G194" s="19"/>
      <c r="H194" s="19"/>
      <c r="I194" s="19"/>
      <c r="J194" s="19"/>
      <c r="K194" s="19"/>
      <c r="L194" s="19"/>
      <c r="M194" s="19"/>
      <c r="N194" s="18"/>
    </row>
    <row r="195" spans="2:14" x14ac:dyDescent="0.3">
      <c r="B195">
        <v>190</v>
      </c>
      <c r="D195" s="18"/>
      <c r="E195" s="19"/>
      <c r="F195" s="19"/>
      <c r="G195" s="19"/>
      <c r="H195" s="19"/>
      <c r="I195" s="19"/>
      <c r="J195" s="19"/>
      <c r="K195" s="19"/>
      <c r="L195" s="19"/>
      <c r="M195" s="19"/>
      <c r="N195" s="18"/>
    </row>
    <row r="196" spans="2:14" x14ac:dyDescent="0.3">
      <c r="B196">
        <v>191</v>
      </c>
      <c r="D196" s="18"/>
      <c r="E196" s="19"/>
      <c r="F196" s="19"/>
      <c r="G196" s="19"/>
      <c r="H196" s="19"/>
      <c r="I196" s="19"/>
      <c r="J196" s="19"/>
      <c r="K196" s="19"/>
      <c r="L196" s="19"/>
      <c r="M196" s="19"/>
      <c r="N196" s="18"/>
    </row>
    <row r="197" spans="2:14" x14ac:dyDescent="0.3">
      <c r="B197">
        <v>192</v>
      </c>
      <c r="D197" s="18"/>
      <c r="E197" s="19"/>
      <c r="F197" s="19"/>
      <c r="G197" s="19"/>
      <c r="H197" s="19"/>
      <c r="I197" s="19"/>
      <c r="J197" s="19"/>
      <c r="K197" s="19"/>
      <c r="L197" s="19"/>
      <c r="M197" s="19"/>
      <c r="N197" s="18"/>
    </row>
    <row r="198" spans="2:14" x14ac:dyDescent="0.3">
      <c r="B198">
        <v>193</v>
      </c>
      <c r="D198" s="18"/>
      <c r="E198" s="19"/>
      <c r="F198" s="19"/>
      <c r="G198" s="19"/>
      <c r="H198" s="19"/>
      <c r="I198" s="19"/>
      <c r="J198" s="19"/>
      <c r="K198" s="19"/>
      <c r="L198" s="19"/>
      <c r="M198" s="19"/>
      <c r="N198" s="18"/>
    </row>
    <row r="199" spans="2:14" x14ac:dyDescent="0.3">
      <c r="B199">
        <v>194</v>
      </c>
      <c r="D199" s="18"/>
      <c r="E199" s="19"/>
      <c r="F199" s="19"/>
      <c r="G199" s="19"/>
      <c r="H199" s="19"/>
      <c r="I199" s="19"/>
      <c r="J199" s="19"/>
      <c r="K199" s="19"/>
      <c r="L199" s="19"/>
      <c r="M199" s="19"/>
      <c r="N199" s="18"/>
    </row>
    <row r="200" spans="2:14" x14ac:dyDescent="0.3">
      <c r="B200">
        <v>195</v>
      </c>
      <c r="D200" s="18"/>
      <c r="E200" s="19"/>
      <c r="F200" s="19"/>
      <c r="G200" s="19"/>
      <c r="H200" s="19"/>
      <c r="I200" s="19"/>
      <c r="J200" s="19"/>
      <c r="K200" s="19"/>
      <c r="L200" s="19"/>
      <c r="M200" s="19"/>
      <c r="N200" s="18"/>
    </row>
    <row r="201" spans="2:14" x14ac:dyDescent="0.3">
      <c r="B201">
        <v>196</v>
      </c>
      <c r="D201" s="18"/>
      <c r="E201" s="19"/>
      <c r="F201" s="19"/>
      <c r="G201" s="19"/>
      <c r="H201" s="19"/>
      <c r="I201" s="19"/>
      <c r="J201" s="19"/>
      <c r="K201" s="19"/>
      <c r="L201" s="19"/>
      <c r="M201" s="19"/>
      <c r="N201" s="18"/>
    </row>
    <row r="202" spans="2:14" x14ac:dyDescent="0.3">
      <c r="B202">
        <v>197</v>
      </c>
      <c r="D202" s="18"/>
      <c r="E202" s="19"/>
      <c r="F202" s="19"/>
      <c r="G202" s="19"/>
      <c r="H202" s="19"/>
      <c r="I202" s="19"/>
      <c r="J202" s="19"/>
      <c r="K202" s="19"/>
      <c r="L202" s="19"/>
      <c r="M202" s="19"/>
      <c r="N202" s="18"/>
    </row>
    <row r="203" spans="2:14" x14ac:dyDescent="0.3">
      <c r="B203">
        <v>198</v>
      </c>
      <c r="D203" s="18"/>
      <c r="E203" s="19"/>
      <c r="F203" s="19"/>
      <c r="G203" s="19"/>
      <c r="H203" s="19"/>
      <c r="I203" s="19"/>
      <c r="J203" s="19"/>
      <c r="K203" s="19"/>
      <c r="L203" s="19"/>
      <c r="M203" s="19"/>
      <c r="N203" s="18"/>
    </row>
    <row r="204" spans="2:14" x14ac:dyDescent="0.3">
      <c r="B204">
        <v>199</v>
      </c>
      <c r="D204" s="18"/>
      <c r="E204" s="19"/>
      <c r="F204" s="19"/>
      <c r="G204" s="19"/>
      <c r="H204" s="19"/>
      <c r="I204" s="19"/>
      <c r="J204" s="19"/>
      <c r="K204" s="19"/>
      <c r="L204" s="19"/>
      <c r="M204" s="19"/>
      <c r="N204" s="18"/>
    </row>
    <row r="205" spans="2:14" x14ac:dyDescent="0.3">
      <c r="B205">
        <v>200</v>
      </c>
      <c r="D205" s="18"/>
      <c r="E205" s="19"/>
      <c r="F205" s="19"/>
      <c r="G205" s="19"/>
      <c r="H205" s="19"/>
      <c r="I205" s="19"/>
      <c r="J205" s="19"/>
      <c r="K205" s="19"/>
      <c r="L205" s="19"/>
      <c r="M205" s="19"/>
      <c r="N205" s="18"/>
    </row>
    <row r="206" spans="2:14" x14ac:dyDescent="0.3">
      <c r="D206" s="17"/>
      <c r="E206" s="17"/>
      <c r="F206" s="17"/>
      <c r="G206" s="17"/>
      <c r="H206" s="17"/>
      <c r="I206" s="17"/>
      <c r="J206" s="17"/>
      <c r="K206" s="17"/>
      <c r="L206" s="17"/>
      <c r="M206" s="17"/>
      <c r="N206" s="19"/>
    </row>
    <row r="207" spans="2:14" x14ac:dyDescent="0.3">
      <c r="D207" s="19"/>
      <c r="E207" s="19"/>
      <c r="F207" s="19"/>
      <c r="G207" s="19"/>
      <c r="H207" s="19"/>
      <c r="I207" s="19"/>
      <c r="J207" s="19"/>
      <c r="K207" s="19"/>
      <c r="L207" s="19"/>
      <c r="M207" s="19"/>
      <c r="N207" s="19"/>
    </row>
    <row r="208" spans="2:14" x14ac:dyDescent="0.3">
      <c r="D208" s="19"/>
      <c r="E208" s="19"/>
      <c r="F208" s="19"/>
      <c r="G208" s="19"/>
      <c r="H208" s="19"/>
      <c r="I208" s="19"/>
      <c r="J208" s="19"/>
      <c r="K208" s="19"/>
      <c r="L208" s="19"/>
      <c r="M208" s="19"/>
      <c r="N208" s="19"/>
    </row>
    <row r="209" spans="4:14" x14ac:dyDescent="0.3">
      <c r="D209" s="19"/>
      <c r="E209" s="19"/>
      <c r="F209" s="19"/>
      <c r="G209" s="19"/>
      <c r="H209" s="19"/>
      <c r="I209" s="19"/>
      <c r="J209" s="19"/>
      <c r="K209" s="19"/>
      <c r="L209" s="19"/>
      <c r="M209" s="19"/>
      <c r="N209" s="19"/>
    </row>
    <row r="210" spans="4:14" x14ac:dyDescent="0.3">
      <c r="D210" s="19"/>
      <c r="E210" s="19"/>
      <c r="F210" s="19"/>
      <c r="G210" s="19"/>
      <c r="H210" s="19"/>
      <c r="I210" s="19"/>
      <c r="J210" s="19"/>
      <c r="K210" s="19"/>
      <c r="L210" s="19"/>
      <c r="M210" s="19"/>
      <c r="N210" s="19"/>
    </row>
  </sheetData>
  <mergeCells count="1">
    <mergeCell ref="Q5:T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LUT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Kurta</dc:creator>
  <cp:lastModifiedBy>Michael Kurta</cp:lastModifiedBy>
  <dcterms:created xsi:type="dcterms:W3CDTF">2024-08-30T19:03:12Z</dcterms:created>
  <dcterms:modified xsi:type="dcterms:W3CDTF">2024-09-06T20:34:51Z</dcterms:modified>
</cp:coreProperties>
</file>